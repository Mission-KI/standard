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60" documentId="13_ncr:1_{F5F879A0-6D71-4FBF-8383-ABA9C643EB3B}" xr6:coauthVersionLast="47" xr6:coauthVersionMax="47" xr10:uidLastSave="{92306833-0083-4324-BB42-A50C50AB6852}"/>
  <bookViews>
    <workbookView xWindow="-110" yWindow="-110" windowWidth="19420" windowHeight="10300" xr2:uid="{9F653C89-8988-4BF1-B07F-AAD0C2EBFC3E}"/>
  </bookViews>
  <sheets>
    <sheet name="Overview" sheetId="12" r:id="rId1"/>
    <sheet name="Data quality" sheetId="15" r:id="rId2"/>
    <sheet name="Non-discrimination" sheetId="16" r:id="rId3"/>
    <sheet name="Transparency" sheetId="17" r:id="rId4"/>
    <sheet name="Human oversight and control" sheetId="18" r:id="rId5"/>
    <sheet name="Cybersecurity" sheetId="14" r:id="rId6"/>
    <sheet name="Reliability" sheetId="1" r:id="rId7"/>
    <sheet name="Validierung" sheetId="19" state="hidden" r:id="rId8"/>
  </sheets>
  <definedNames>
    <definedName name="_xlnm._FilterDatabase" localSheetId="6" hidden="1">Reliability!$A$3:$J$32</definedName>
    <definedName name="_xlnm.Print_Area" localSheetId="1">'Data quality'!$A$1:$J$41</definedName>
    <definedName name="_xlnm.Print_Area" localSheetId="4">'Human oversight and control'!$A$1:$J$28</definedName>
    <definedName name="_xlnm.Print_Area" localSheetId="0">Overview!$B$7:$N$31</definedName>
    <definedName name="_xlnm.Print_Area" localSheetId="6">Reliability!$A$1:$J$32</definedName>
    <definedName name="_xlnm.Print_Titles" localSheetId="5">Cybersecurity!$1:$1</definedName>
    <definedName name="_xlnm.Print_Titles" localSheetId="1">'Data quality'!$1:$1</definedName>
    <definedName name="_xlnm.Print_Titles" localSheetId="4">'Human oversight and control'!$1:$1</definedName>
    <definedName name="_xlnm.Print_Titles" localSheetId="2">'Non-discrimination'!$1:$1</definedName>
    <definedName name="_xlnm.Print_Titles" localSheetId="6">Reliability!$1:$1</definedName>
    <definedName name="_xlnm.Print_Titles" localSheetId="3">Transparency!$1:$1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2" l="1"/>
  <c r="K9" i="12"/>
  <c r="I9" i="12"/>
  <c r="G9" i="12"/>
  <c r="F9" i="12"/>
  <c r="C9" i="12"/>
</calcChain>
</file>

<file path=xl/sharedStrings.xml><?xml version="1.0" encoding="utf-8"?>
<sst xmlns="http://schemas.openxmlformats.org/spreadsheetml/2006/main" count="1528" uniqueCount="493">
  <si>
    <t>Navigation</t>
  </si>
  <si>
    <t>DA1</t>
  </si>
  <si>
    <t>DA2</t>
  </si>
  <si>
    <t>DA3</t>
  </si>
  <si>
    <t>ND1</t>
  </si>
  <si>
    <t>TR1</t>
  </si>
  <si>
    <t>TR2</t>
  </si>
  <si>
    <t>MA1</t>
  </si>
  <si>
    <t>MA2</t>
  </si>
  <si>
    <t>VE1</t>
  </si>
  <si>
    <t>VE2</t>
  </si>
  <si>
    <t>CY1</t>
  </si>
  <si>
    <t>CY2</t>
  </si>
  <si>
    <t>DA1.1</t>
  </si>
  <si>
    <t>DA2.1</t>
  </si>
  <si>
    <t>DA3.1</t>
  </si>
  <si>
    <t>ND1.1</t>
  </si>
  <si>
    <t>TR1.1</t>
  </si>
  <si>
    <t>TR2.1</t>
  </si>
  <si>
    <t>MA1.1</t>
  </si>
  <si>
    <t>MA2.1</t>
  </si>
  <si>
    <t>VE1.1</t>
  </si>
  <si>
    <t>VE2.1</t>
  </si>
  <si>
    <t>CY1.1</t>
  </si>
  <si>
    <t>CY2.1</t>
  </si>
  <si>
    <t>DA1.2</t>
  </si>
  <si>
    <t>DA2.2</t>
  </si>
  <si>
    <t>DA3.2</t>
  </si>
  <si>
    <t>ND1.2</t>
  </si>
  <si>
    <t>TR1.2</t>
  </si>
  <si>
    <t>TR2.2</t>
  </si>
  <si>
    <t>MA1.2</t>
  </si>
  <si>
    <t>MA2.2</t>
  </si>
  <si>
    <t>VE1.2</t>
  </si>
  <si>
    <t>VE2.2</t>
  </si>
  <si>
    <t>CY1.2</t>
  </si>
  <si>
    <t>CY2.2</t>
  </si>
  <si>
    <t>DA1.3</t>
  </si>
  <si>
    <t>DA2.3</t>
  </si>
  <si>
    <t>DA3.3</t>
  </si>
  <si>
    <t>ND1.3</t>
  </si>
  <si>
    <t>TR1.3</t>
  </si>
  <si>
    <t>TR2.3</t>
  </si>
  <si>
    <t>MA1.3</t>
  </si>
  <si>
    <t>MA2.3</t>
  </si>
  <si>
    <t>VE1.3</t>
  </si>
  <si>
    <t>VE2.3</t>
  </si>
  <si>
    <t>CY1.3</t>
  </si>
  <si>
    <t>CY2.3</t>
  </si>
  <si>
    <t>DA1.4</t>
  </si>
  <si>
    <t>DA2.4</t>
  </si>
  <si>
    <t>DA3.4</t>
  </si>
  <si>
    <t>ND1.4</t>
  </si>
  <si>
    <t>TR1.4</t>
  </si>
  <si>
    <t>TR2.4</t>
  </si>
  <si>
    <t>MA1.4</t>
  </si>
  <si>
    <t>MA2.4</t>
  </si>
  <si>
    <t>VE1.4</t>
  </si>
  <si>
    <t>VE2.4</t>
  </si>
  <si>
    <t>CY1.4</t>
  </si>
  <si>
    <t>CY2.4</t>
  </si>
  <si>
    <t>DA1.5</t>
  </si>
  <si>
    <t>DA2.5</t>
  </si>
  <si>
    <t>DA3.5</t>
  </si>
  <si>
    <t>ND1.5</t>
  </si>
  <si>
    <t>TR1.5</t>
  </si>
  <si>
    <t>MA1.5</t>
  </si>
  <si>
    <t>MA2.5</t>
  </si>
  <si>
    <t>VE1.5</t>
  </si>
  <si>
    <t>VE2.5</t>
  </si>
  <si>
    <t>CY1.5</t>
  </si>
  <si>
    <t>DA2.6</t>
  </si>
  <si>
    <t>DA3.6</t>
  </si>
  <si>
    <t>ND1.6</t>
  </si>
  <si>
    <t>TR1.6</t>
  </si>
  <si>
    <t>MA1.6</t>
  </si>
  <si>
    <t>VE1.6</t>
  </si>
  <si>
    <t>VE2.6</t>
  </si>
  <si>
    <t>CY1.6</t>
  </si>
  <si>
    <t>DA2.7</t>
  </si>
  <si>
    <t>ND1.7</t>
  </si>
  <si>
    <t>TR1.7</t>
  </si>
  <si>
    <t>MA1.7</t>
  </si>
  <si>
    <t>VE1.7</t>
  </si>
  <si>
    <t>VE2.7</t>
  </si>
  <si>
    <t>ND1.8</t>
  </si>
  <si>
    <t>TR1.8</t>
  </si>
  <si>
    <t>ND1.9</t>
  </si>
  <si>
    <t>A</t>
  </si>
  <si>
    <t>B</t>
  </si>
  <si>
    <t>C</t>
  </si>
  <si>
    <t>D</t>
  </si>
  <si>
    <t>Gewichtung</t>
  </si>
  <si>
    <t>ISO/IEC 5259</t>
  </si>
  <si>
    <t>Normal</t>
  </si>
  <si>
    <t>System</t>
  </si>
  <si>
    <t>DA1.2, DA1.3, TR2, MA1, CY1.5</t>
  </si>
  <si>
    <t>CY2.2, CY2.3</t>
  </si>
  <si>
    <t>TR1.7, MA1.4</t>
  </si>
  <si>
    <t>DA1.2, DA1.3, MA1, CY1.5</t>
  </si>
  <si>
    <t>VE1.1, VE2.1, VE1.2, VE1.3, CY1.5, CY1.6</t>
  </si>
  <si>
    <t>VE1.2, VE1.3, CY1.5, CY1.6</t>
  </si>
  <si>
    <t>VE1.4, VE1.5</t>
  </si>
  <si>
    <t>VE1.6, DA2.6</t>
  </si>
  <si>
    <t>TR1.7, MA1.4, 
MA1.6, MA2.3</t>
  </si>
  <si>
    <t>TR2, MA1.6</t>
  </si>
  <si>
    <t>MA1.4,
VE2.2</t>
  </si>
  <si>
    <t>TR1.1, TR1.3</t>
  </si>
  <si>
    <t>TR1.3, TR1.4</t>
  </si>
  <si>
    <t>Auswahlmöglicheiten</t>
  </si>
  <si>
    <t>System oder Komponente</t>
  </si>
  <si>
    <t>Typisierung</t>
  </si>
  <si>
    <t>Anwendbarkeit</t>
  </si>
  <si>
    <t>Stufe</t>
  </si>
  <si>
    <t>Ja</t>
  </si>
  <si>
    <t>Nein</t>
  </si>
  <si>
    <t>N/A</t>
  </si>
  <si>
    <t>Indicators</t>
  </si>
  <si>
    <t>Criteria</t>
  </si>
  <si>
    <t>Quality dimensions</t>
  </si>
  <si>
    <t>Data quality, protection and governance</t>
  </si>
  <si>
    <t>Data quality</t>
  </si>
  <si>
    <t>The characteristics of the data were not documented.</t>
  </si>
  <si>
    <t>Additional information</t>
  </si>
  <si>
    <t>Type</t>
  </si>
  <si>
    <t>Weighting</t>
  </si>
  <si>
    <t>Link</t>
  </si>
  <si>
    <t>The risks and hazards were not analysed, and no data quality requirements were derived.</t>
  </si>
  <si>
    <t>During training
ISO/IEC 5259</t>
  </si>
  <si>
    <t>No evaluation was conducted.</t>
  </si>
  <si>
    <t>Protection of personal data</t>
  </si>
  <si>
    <t>Measures and security controls must be in place to mitigate AI-specific attacks that may occur during operation.</t>
  </si>
  <si>
    <t>Measures and security controls must be in place to prevent misuse and intentional abuse of the AI system.</t>
  </si>
  <si>
    <t>Protection of proprietary data</t>
  </si>
  <si>
    <t>No risk or hazard analysis was conducted.</t>
  </si>
  <si>
    <t>DA1.1, DA1.2, TR1.1 (purpose)</t>
  </si>
  <si>
    <t>Non-discrimination</t>
  </si>
  <si>
    <t>Avoidance of unjustified discrimination and distortion</t>
  </si>
  <si>
    <t>The risk of discrimination related to the intended purpose of the AI system must be analysed.</t>
  </si>
  <si>
    <t>No risk analysis was conducted.</t>
  </si>
  <si>
    <t>Reference level</t>
  </si>
  <si>
    <t>Mechanism for user feedback must be available to report problems related to potential discrimination.</t>
  </si>
  <si>
    <t xml:space="preserve"> MA1.4</t>
  </si>
  <si>
    <t xml:space="preserve"> MA2.3</t>
  </si>
  <si>
    <t>The characteristics of the data sets 
must be documented.</t>
  </si>
  <si>
    <r>
      <t xml:space="preserve">Analysis – Definition
</t>
    </r>
    <r>
      <rPr>
        <sz val="8"/>
        <color rgb="FF000000"/>
        <rFont val="Arial"/>
        <family val="2"/>
        <scheme val="minor"/>
      </rPr>
      <t>Data composition
– number of data instances / data size
– standards for data structures/formats Data collection process
Method of data collection
– Source of data
– Person responsible for data collection
Data processing steps
– Explanation of the features and their possible quality dimensions
and areas of the quality dimensions
– Preprocessing
– Labeling
– Cleaning
Data maintenance
– Storage periods
– Data updates</t>
    </r>
  </si>
  <si>
    <t>The risks arising from a lack of data quality 
in the context of the purpose of the AI system 
must be analysed, and data quality requirements 
must be derived from this.</t>
  </si>
  <si>
    <t>The datasets must correspond to
the intended purpose of the AI system 
and meet the derived data quality requirements.</t>
  </si>
  <si>
    <t>No evidence was provided that the dataset 
meets the purpose of the AI system and the
data quality requirements.</t>
  </si>
  <si>
    <r>
      <rPr>
        <b/>
        <sz val="8"/>
        <color rgb="FF000000"/>
        <rFont val="Arial"/>
        <family val="2"/>
        <scheme val="minor"/>
      </rPr>
      <t>Technical measures – data</t>
    </r>
    <r>
      <rPr>
        <sz val="8"/>
        <color rgb="FF000000"/>
        <rFont val="Arial"/>
        <family val="2"/>
        <scheme val="minor"/>
      </rPr>
      <t xml:space="preserve">
The data quality characteristics defined in DA 1.2 must be tested and 
evaluated, taking into account the scope and intended use. This includes: 
– Tests and metrics to demonstrate the data quality characteristics.
The selected metrics and tests should ideally have the following 
characteristics: 
– Basic methods are sufficient (regarding complexity, information content, 
implementation effort, e.g., a simple metric) 
– Definition of thresholds (as minimum requirements for functionality/
performance) and justification of the thresholds, taking into account the 
scope and intended use.</t>
    </r>
  </si>
  <si>
    <t>The data from the AI system must (be able to) 
be monitored during development and operation.</t>
  </si>
  <si>
    <t>It must be assessed whether the measures 
taken have reduced the identified risks to an 
acceptable level and whether the quality of 
the AI system meets the set targets.</t>
  </si>
  <si>
    <r>
      <rPr>
        <b/>
        <sz val="8"/>
        <color theme="1"/>
        <rFont val="Arial"/>
        <family val="2"/>
        <scheme val="minor"/>
      </rPr>
      <t xml:space="preserve">Evaluation </t>
    </r>
    <r>
      <rPr>
        <sz val="8"/>
        <color theme="1"/>
        <rFont val="Arial"/>
        <family val="2"/>
        <scheme val="minor"/>
      </rPr>
      <t xml:space="preserve">
– Assessment by a qualified and authorised person as to whether the residual
risk is tolerable 
– Justification of the tolerability of the residual risk.</t>
    </r>
  </si>
  <si>
    <t xml:space="preserve"> A risk analysis for the protection of personal data 
used in the AI system must be carried out taking
into account the intended use.</t>
  </si>
  <si>
    <r>
      <rPr>
        <b/>
        <sz val="8"/>
        <color rgb="FF000000"/>
        <rFont val="Arial"/>
        <family val="2"/>
        <scheme val="minor"/>
      </rPr>
      <t>Analysis – Risk</t>
    </r>
    <r>
      <rPr>
        <sz val="8"/>
        <color rgb="FF000000"/>
        <rFont val="Arial"/>
        <family val="2"/>
        <scheme val="minor"/>
      </rPr>
      <t xml:space="preserve">
Limited risk analysis focusing on protection needs without quantifying probabilities 
– Identification of potential risks 
– Allocation of risk responsibility 
– Impact assessment 
– Structured risk grading and prioritisation.
At least the following risk sources must be considered, taking into account
the intended use (see TR1.1): 
- Data processing activities: Collection, storage, processing, and transfer 
of personal data, in particular risks related to the implementation of the right 
to data portability or erasure. 
– Purpose limitation: Use of data beyond the originally defined purpose. 
– Data minimisation: Collection of unnecessary or excessive personal data. 
– Data access rights and storage: Unauthorised or uncontrolled access to sensitive personal data and retention of data beyond necessary periods. 
– Data transfer to third parties: Uncontrolled transfer of personal data to external 
partners or service providers, risks associated with transferring personal data
to countries with inadequate data protection. 
– Misuse of data: Potential misuse, such as identity theft or discrimination through improper data processing. 
– Anonymisation and pseudonymisation: Inadequate anonymisation or
 pseudonymisation techniques. 
– Automated decision-making: Lack of transparency or control over
automated decisions based on personal data.</t>
    </r>
  </si>
  <si>
    <t>Relevant here are the GDPR 
and the requirements contained
therein for a data protection impact assessment (DPIA), Art. 35, GDPR.</t>
  </si>
  <si>
    <r>
      <rPr>
        <b/>
        <sz val="8"/>
        <color rgb="FF000000"/>
        <rFont val="Arial"/>
        <family val="2"/>
        <scheme val="minor"/>
      </rPr>
      <t>Analysis – Risk</t>
    </r>
    <r>
      <rPr>
        <sz val="8"/>
        <color rgb="FF000000"/>
        <rFont val="Arial"/>
        <family val="2"/>
        <scheme val="minor"/>
      </rPr>
      <t xml:space="preserve">
Primarily a qualitative assessment of risks without probabilities 
– Identification of potential risks: 
– Assignment of risk responsibility 
– Qualitative assessment of impact 
– Qualitative grading and prioritisation of risks.
At least the following risk sources must be considered, taking into account 
the intended use (see TR1.1): 
– Data processing operations: Collection, storage, processing, and transfer of 
personal data, in particular risks in implementing the right to data portability or erasure. 
– Data access rights and storage: Unauthorised or uncontrolled access to sensitive personal data and retention of data beyond necessary periods. 
– Data transfer to third parties: Uncontrolled transfer of personal data to external 
partners or service providers, risks in transferring personal data to countries with inadequate data protection. 
– Data misuse: Potential misuse, such as identity theft or discrimination through 
improper data processing. 
– Anonymisation and pseudonymisation: Inadequate anonymisation or
pseudonymisation techniques.</t>
    </r>
  </si>
  <si>
    <r>
      <rPr>
        <b/>
        <sz val="8"/>
        <color theme="1"/>
        <rFont val="Arial"/>
        <family val="2"/>
        <scheme val="minor"/>
      </rPr>
      <t xml:space="preserve">Evaluation </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</si>
  <si>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</si>
  <si>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t>Non-AI-specific measures must be taken to ensure
the protection of personal data, taking into account 
the identified risk.</t>
  </si>
  <si>
    <t>No non-AI-specific measures were
taken to protect personal data.</t>
  </si>
  <si>
    <t>Relevant here are the GDPR and 
the requirements contained therein 
for a data protection impact assess-
ment (DPIA), Art. 35, GDPR.</t>
  </si>
  <si>
    <t>Measures and security controls must be in place 
to mitigate AI-specific attacks that occur during the preparation and model training phase of the AI models.</t>
  </si>
  <si>
    <t>For reasons of plausibility, not all 
measures in CY2.3 are necessarily 
relevant to the protection of personal data, e.g. when it comes to the protection goal 
of availability.</t>
  </si>
  <si>
    <t>For reasons of plausibility, not all 
measures in CY1.6 are necessarily 
relevant to the protection of personal data, e.g. when it comes to the protection goal 
of availability.</t>
  </si>
  <si>
    <t>This should primarily cover the incorrect
use or misuse of the system, which 
falsely uses or discloses personal data.</t>
  </si>
  <si>
    <t>It should be possible to exercise their rights
relating to personal data, including data management, deletion and use, as well as information obligations, 
even during the operation of the AI system.</t>
  </si>
  <si>
    <r>
      <rPr>
        <b/>
        <sz val="8"/>
        <rFont val="Arial"/>
        <family val="2"/>
        <scheme val="minor"/>
      </rPr>
      <t>Organisational measure – User instruction</t>
    </r>
    <r>
      <rPr>
        <sz val="8"/>
        <rFont val="Arial"/>
        <family val="2"/>
        <scheme val="minor"/>
      </rPr>
      <t xml:space="preserve">
– Providing a clear and understandable explanation of the data processing,
the data subject rights and the controller
– Documentation and logging of all data processing activities and the exercise 
of data subject rights (see TR1.7)
</t>
    </r>
    <r>
      <rPr>
        <b/>
        <sz val="8"/>
        <rFont val="Arial"/>
        <family val="2"/>
        <scheme val="minor"/>
      </rPr>
      <t xml:space="preserve">Organisational measure – Governance
</t>
    </r>
    <r>
      <rPr>
        <sz val="8"/>
        <rFont val="Arial"/>
        <family val="2"/>
        <scheme val="minor"/>
      </rPr>
      <t xml:space="preserve">– Ensuring that users are informed promptly about changes to data processing 
or use.
– Establishing clear channels to support data subjects in exercising their rights 
(see MA1.4).
– Implementing a system for obtaining and managing explicit consent for data processing.
</t>
    </r>
    <r>
      <rPr>
        <b/>
        <sz val="8"/>
        <rFont val="Arial"/>
        <family val="2"/>
        <scheme val="minor"/>
      </rPr>
      <t>Technical measure – Operation</t>
    </r>
    <r>
      <rPr>
        <sz val="8"/>
        <rFont val="Arial"/>
        <family val="2"/>
        <scheme val="minor"/>
      </rPr>
      <t xml:space="preserve">
– Providing easily accessible functions for data subjects to exercise their rights 
to information, rectification, erasure, and data portability, including the ability 
to object to data processing or withdraw their consent at any time. 
– Integrating mechanisms that enable the automatic deletion of personal data 
after the retention period has expired or upon request.</t>
    </r>
  </si>
  <si>
    <r>
      <rPr>
        <b/>
        <sz val="8"/>
        <rFont val="Arial"/>
        <family val="2"/>
        <scheme val="minor"/>
      </rPr>
      <t>Organisational measure – User instruction</t>
    </r>
    <r>
      <rPr>
        <sz val="8"/>
        <rFont val="Arial"/>
        <family val="2"/>
        <scheme val="minor"/>
      </rPr>
      <t xml:space="preserve">
– Providing a clear and understandable explanation of the data processing,
the data subject rights and the controller
– Documentation and logging of all data processing activities and the exercise 
of data subject rights (see TR1.7)
</t>
    </r>
    <r>
      <rPr>
        <b/>
        <sz val="8"/>
        <rFont val="Arial"/>
        <family val="2"/>
        <scheme val="minor"/>
      </rPr>
      <t xml:space="preserve">Organisational measure – Governance
</t>
    </r>
    <r>
      <rPr>
        <sz val="8"/>
        <rFont val="Arial"/>
        <family val="2"/>
        <scheme val="minor"/>
      </rPr>
      <t xml:space="preserve">– Establishment of clear channels to assist data subjects in exercising their rights 
(see MA1.4)
– Implementation of a system for obtaining and managing explicit consent for data processing.
</t>
    </r>
    <r>
      <rPr>
        <b/>
        <sz val="8"/>
        <rFont val="Arial"/>
        <family val="2"/>
        <scheme val="minor"/>
      </rPr>
      <t>Technical measure – Operation</t>
    </r>
    <r>
      <rPr>
        <sz val="8"/>
        <rFont val="Arial"/>
        <family val="2"/>
        <scheme val="minor"/>
      </rPr>
      <t xml:space="preserve">
– Integration of mechanisms that enable automatic deletion of personal data 
after the storage period has expired or upon request.
</t>
    </r>
  </si>
  <si>
    <t>There are no options for natural persons 
to exercise their rights with regard to
personal data.</t>
  </si>
  <si>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</si>
  <si>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</si>
  <si>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</si>
  <si>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</si>
  <si>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t>A risk analysis for the protection of proprietary 
data used in the AI system must be carried out 
taking into account the intended use.</t>
  </si>
  <si>
    <r>
      <rPr>
        <b/>
        <sz val="8"/>
        <color rgb="FF000000"/>
        <rFont val="Arial"/>
        <family val="2"/>
        <scheme val="minor"/>
      </rPr>
      <t>Analysis – Risk</t>
    </r>
    <r>
      <rPr>
        <sz val="8"/>
        <color rgb="FF000000"/>
        <rFont val="Arial"/>
        <family val="2"/>
        <scheme val="minor"/>
      </rPr>
      <t xml:space="preserve">
Full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Unauthorised access to and lack of control over access to sensitive company 
data by internal or external actors. 
– Risks of accidental loss, deletion, or damage to proprietary data due to system 
errors or human error. 
– Threat from external attacks, hacking, or industrial espionage aimed at the theft, disclosure, or manipulation of confidential company data. 
– Loss of control over company data during its storage or processing by external 
service providers (e.g., in cloud environments). 
– Contractual or agreement breaches by partners or service providers regarding unauthorised data access or disclosure. 
– Non-compliance with industry-specific regulations regarding the use and 
disclosure of data.</t>
    </r>
  </si>
  <si>
    <r>
      <rPr>
        <b/>
        <sz val="8"/>
        <color rgb="FF000000"/>
        <rFont val="Arial"/>
        <family val="2"/>
        <scheme val="minor"/>
      </rPr>
      <t>Analysis – Risk</t>
    </r>
    <r>
      <rPr>
        <sz val="8"/>
        <color rgb="FF000000"/>
        <rFont val="Arial"/>
        <family val="2"/>
        <scheme val="minor"/>
      </rPr>
      <t xml:space="preserve">
Limited risk analysis focusing on protection requirements without quantifying probabilities 
– Identification of potential risks 
– Allocation of risk responsibility 
– Estimation of impact 
– Structured grading and prioritisation of risks.
At least the following risk sources must be considered, taking into account the 
intended use (see TR1.1): 
– Unauthorised access to and lack of control over access to sensitive company 
data by internal or external actors. 
– Risks of accidental loss, deletion, or damage to proprietary data due to system
errors or human error. 
– Threat from external attacks, hacking, or industrial espionage aimed at the theft, disclosure, or manipulation of confidential company data. 
– Loss of control over company data during its storage or processing by external
service providers (e.g., in cloud environments). 
– Contractual or agreement breaches by partners or service providers regarding unauthorised data access or disclosure. 
– Non-compliance with industry-specific regulations regarding the use and
disclosure of data.</t>
    </r>
  </si>
  <si>
    <r>
      <rPr>
        <b/>
        <sz val="8"/>
        <color rgb="FF000000"/>
        <rFont val="Arial"/>
        <family val="2"/>
        <scheme val="minor"/>
      </rPr>
      <t>Analysis – Risk</t>
    </r>
    <r>
      <rPr>
        <sz val="8"/>
        <color rgb="FF000000"/>
        <rFont val="Arial"/>
        <family val="2"/>
        <scheme val="minor"/>
      </rPr>
      <t xml:space="preserve">
Primarily a qualitative assessment of risks without probabilities –
Identification of potential risks: 
– Assignment of risk responsibility 
– Qualitative assessment of impact 
– Qualitative grading and prioritisation of risks.
At least the following risk sources must be considered, taking into account 
the intended use (see TR1.1): 
– Unauthorised access to and lack of control over access to sensitive company
data by internal or external actors. 
– Risks of accidental loss, deletion, or damage to proprietary data due to system 
errors or human error. 
– Danger from external attacks, hacking, or industrial espionage aimed at the theft, disclosure, or manipulation of confidential company data.
– Loss of control over company data during its storage or processing by external 
service providers (e.g., in cloud environments). 
– Contractual or agreement breaches by partners or service providers regarding unauthorised data access or disclosure. 
– Non-compliance with industry-specific regulations regarding the use and 
disclosure of data.</t>
    </r>
  </si>
  <si>
    <t>Relevant here are the GDPR and the requirements contained therein for a 
data protection impact assessment 
(DPIA), Art. 35, GDPR.</t>
  </si>
  <si>
    <t>No non-AI-specific measures were taken
to protect proprietary data.</t>
  </si>
  <si>
    <t>Non-AI-specific measures must be taken to ensure 
the protection of proprietary data, taking into account 
the identified risk.</t>
  </si>
  <si>
    <t>Measures and security controls must be in place
to mitigate AI-specific attacks that occur during 
the preparation and model training phase of the 
AI models.</t>
  </si>
  <si>
    <t>For reasons of plausibility, not all 
measures in CY2.3 are necessarily
relevant for the protection of proprietary
data, e.g., when it comes to the protection goal of availability.</t>
  </si>
  <si>
    <t>For reasons of plausibility, not all
measures in CY1.6 are necessarily 
relevant for the protection of proprietary 
data, e.g., when it comes to the protection goal of availability.</t>
  </si>
  <si>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</si>
  <si>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</si>
  <si>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t>Measures and security controls must be in place
to prevent misuse and intentional abuse of the
AI system.</t>
  </si>
  <si>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</si>
  <si>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rgb="FF000000"/>
        <rFont val="Arial"/>
        <family val="2"/>
        <scheme val="minor"/>
      </rPr>
      <t xml:space="preserve">Organisational measures – Governance / System-related processes </t>
    </r>
    <r>
      <rPr>
        <sz val="8"/>
        <color rgb="FF000000"/>
        <rFont val="Arial"/>
        <family val="2"/>
        <scheme val="minor"/>
      </rPr>
      <t xml:space="preserve">
– Implementation of retention period management mechanisms to securely delete 
data after the specified periods have expired.
– Clear contractual agreements with external service providers regarding access, 
use, and protection of proprietary data.
– Ensuring that companies retain control over their data at all times, especially 
when using external cloud or storage services.
</t>
    </r>
    <r>
      <rPr>
        <b/>
        <sz val="8"/>
        <color rgb="FF000000"/>
        <rFont val="Arial"/>
        <family val="2"/>
        <scheme val="minor"/>
      </rPr>
      <t xml:space="preserve">Technical measures – Data
</t>
    </r>
    <r>
      <rPr>
        <sz val="8"/>
        <color rgb="FF000000"/>
        <rFont val="Arial"/>
        <family val="2"/>
        <scheme val="minor"/>
      </rPr>
      <t>– Implementation of access controls and authorisation management 
to ensure that only authorised personnel have access to proprietary data.
– Implementation of encryption techniques to protect the confidentiality and
integrity of company data, especially during transmission and storage.
– Implementation of regular data backups and contingency plans for data recovery 
in case of loss or damage.</t>
    </r>
  </si>
  <si>
    <t>DA1.1, DA1.2, TR1.1 
(purpose)</t>
  </si>
  <si>
    <t>The necessary degree of avoidance of unjustified distortion or discrimination must be defined in
the context of the intended purpose.</t>
  </si>
  <si>
    <t>No definition or objective has been 
set to avoid unjustified distortion and discrimination.</t>
  </si>
  <si>
    <t>An analysis of the AI system regarding 
existing biases and possible discrimination 
must be carried out.</t>
  </si>
  <si>
    <t>No analysis was conducted regarding 
existing biases and potential discrimination.</t>
  </si>
  <si>
    <t>Principles of universal design were 
not considered during development.</t>
  </si>
  <si>
    <t>When developing an AI system, the principles 
of universal design must be applied to ensure accessibility for people with disabilities.</t>
  </si>
  <si>
    <r>
      <rPr>
        <b/>
        <sz val="8"/>
        <color theme="1"/>
        <rFont val="Arial"/>
        <family val="2"/>
        <scheme val="minor"/>
      </rPr>
      <t>Technical measure – Operation</t>
    </r>
    <r>
      <rPr>
        <sz val="8"/>
        <color theme="1"/>
        <rFont val="Arial"/>
        <family val="2"/>
        <scheme val="minor"/>
      </rPr>
      <t xml:space="preserve">
Where the AI system interacts with individuals, accessibility for people 
with disabilities is assessed and supported through appropriate measures. 
These measures include:
– Designing the AI system's user interface to be inclusive of people with 
disabilities (e.g., red-green color blindness or motor impairments)
– Providing information about results and mechanisms, including information
presented through the user interface, in a way that is tailored to the target 
audience and takes into account any potential limitations of the recipients.</t>
    </r>
  </si>
  <si>
    <r>
      <rPr>
        <b/>
        <sz val="8"/>
        <color theme="1"/>
        <rFont val="Arial"/>
        <family val="2"/>
        <scheme val="minor"/>
      </rPr>
      <t xml:space="preserve">Technical measure – Operation
</t>
    </r>
    <r>
      <rPr>
        <sz val="8"/>
        <color theme="1"/>
        <rFont val="Arial"/>
        <family val="2"/>
        <scheme val="minor"/>
      </rPr>
      <t>Where the AI system interacts with individuals, accessibility for people 
with disabilities is assessed and supported through appropriate measures. 
These measures include:
– Information about results and mechanisms, including, for example, 
a user interface, is presented in a way that is tailored to the target audience
and takes into account any potential limitations of the recipients.</t>
    </r>
  </si>
  <si>
    <t>No guidance was provided to the staff
responsible for AI development regarding 
biases and discrimination.</t>
  </si>
  <si>
    <r>
      <t xml:space="preserve">Organisational measures – training
</t>
    </r>
    <r>
      <rPr>
        <sz val="8"/>
        <color theme="1"/>
        <rFont val="Arial"/>
        <family val="2"/>
        <scheme val="minor"/>
      </rPr>
      <t>Training program is run for all internal and external employees involved in the development of the AI system. This program includes at least the following aspects:
– Raising awareness of various possible biases and the recognition of potential discrimination in the context of AI systems
– Requirements for conducting training, validation, and testing of the AI model
in the context of biases, fairness, and discrimination.
The content used and participation in the program are documented.</t>
    </r>
  </si>
  <si>
    <r>
      <rPr>
        <b/>
        <sz val="8"/>
        <color theme="1"/>
        <rFont val="Arial"/>
        <family val="2"/>
        <scheme val="minor"/>
      </rPr>
      <t xml:space="preserve">Organisational measures – training 
</t>
    </r>
    <r>
      <rPr>
        <sz val="8"/>
        <color theme="1"/>
        <rFont val="Arial"/>
        <family val="2"/>
        <scheme val="minor"/>
      </rPr>
      <t>Training program is offered to all internal and external employees involved in the development of the AI system. This program covers at least the following aspects:
– Raising awareness of various potential biases and the recognition of potential discrimination in the context of AI systems
– Handling relevant data types (e.g., training and validation data, operational data, customer data) in accordance with applicable guidelines and legal and regulatory requirements
– Requirements for conducting training, validation, and testing of the AI model 
with regard to biases, fairness, and discrimination.
The content used and participation in the program are documented.</t>
    </r>
  </si>
  <si>
    <t>The staff involved in developing the AI system
and implementing measures to reduce the risk of unjustified bias and discrimination must be informed
and trained.</t>
  </si>
  <si>
    <t>Technical measures to avoid unjustified biases
and discrimination must be implemented during 
the development of the AI system.</t>
  </si>
  <si>
    <r>
      <rPr>
        <b/>
        <sz val="8"/>
        <color theme="1"/>
        <rFont val="Arial"/>
        <family val="2"/>
        <scheme val="minor"/>
      </rPr>
      <t>Technical measures – data</t>
    </r>
    <r>
      <rPr>
        <sz val="8"/>
        <color theme="1"/>
        <rFont val="Arial"/>
        <family val="2"/>
        <scheme val="minor"/>
      </rPr>
      <t xml:space="preserve">
The data used for training, validation, and testing reflect the fairness objective, 
and the test data is suitable for uncovering potential biases in the AI system.
This includes at least:
– Documentation of the data, selection or collection procedures,
and processing steps (see DA 1.1)
– Implementation of processing steps to reduce unjustified biases in the data</t>
    </r>
  </si>
  <si>
    <r>
      <rPr>
        <b/>
        <sz val="8"/>
        <color theme="1"/>
        <rFont val="Arial"/>
        <family val="2"/>
        <scheme val="minor"/>
      </rPr>
      <t xml:space="preserve">Technical measures – data 
</t>
    </r>
    <r>
      <rPr>
        <sz val="8"/>
        <color theme="1"/>
        <rFont val="Arial"/>
        <family val="2"/>
        <scheme val="minor"/>
      </rPr>
      <t>The data used for training, validation, and testing reflect the fairness objective, 
and the test data is suitable for uncovering potential biases in the AI system. 
This includes at least:
– Documentation of the data, selection or collection procedures, 
and processing steps (see DA 1.1)
– Implementation of processing steps to reduce unjustified biases in the data</t>
    </r>
  </si>
  <si>
    <t>No measures were taken to avoid
unjustified distortions in the development.</t>
  </si>
  <si>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</si>
  <si>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theme="1"/>
        <rFont val="Arial"/>
        <family val="2"/>
        <scheme val="minor"/>
      </rPr>
      <t xml:space="preserve">Evaluation
</t>
    </r>
    <r>
      <rPr>
        <sz val="8"/>
        <color theme="1"/>
        <rFont val="Arial"/>
        <family val="2"/>
        <scheme val="minor"/>
      </rPr>
      <t>– Assessment by a qualified and authorised person as to whether the residual risk
is tolerable
– Justification of the tolerability of the residual risk</t>
    </r>
  </si>
  <si>
    <r>
      <rPr>
        <b/>
        <sz val="8"/>
        <color rgb="FF000000"/>
        <rFont val="Arial"/>
        <family val="2"/>
        <scheme val="minor"/>
      </rPr>
      <t>Analysis – Purpose Definition</t>
    </r>
    <r>
      <rPr>
        <sz val="8"/>
        <color rgb="FF000000"/>
        <rFont val="Arial"/>
        <family val="2"/>
        <scheme val="minor"/>
      </rPr>
      <t xml:space="preserve">
Based on the intended use and application area of the AI system and 
the potential risks, relevant data quality characteristics must be defined 
and specific requirements must be set for them.
Analysis risk
Detailed risk analysis including quantification of probabilities of occurrence
and risks: – Identification of possible risks and their causes
– Assignment of risk responsibility
– Estimation of the probability of occurrence
– Estimation of the probability of detection 
– Estimation of the impact 
– Structured grading and prioritisation of risks
At least the following risk sources must be considered: 
– Data quality characteristics do not fit the intended use and scope 
– Data quality characteristics are poorly met.</t>
    </r>
  </si>
  <si>
    <r>
      <rPr>
        <b/>
        <sz val="8"/>
        <color rgb="FF000000"/>
        <rFont val="Arial"/>
        <family val="2"/>
        <scheme val="minor"/>
      </rPr>
      <t>Analysis – Purpose Definition</t>
    </r>
    <r>
      <rPr>
        <sz val="8"/>
        <color rgb="FF000000"/>
        <rFont val="Arial"/>
        <family val="2"/>
        <scheme val="minor"/>
      </rPr>
      <t xml:space="preserve">
Based on the intended use and application area of the AI system and 
the potential risks, relevant data quality characteristics must be defined 
and specific requirements must be set for them.
Analysis risk
Limited risk analysis focusing on protection needs without quantifying probabilities: 
– Identification of potential risks 
– Assignment of risk responsibility 
– Estimation of impact
– Structured grading and prioritisation of risks
At least the following risk sources must be considered:
– Data quality characteristics do not fit the intended use and application area
– Data quality characteristics are poorly met.</t>
    </r>
  </si>
  <si>
    <r>
      <rPr>
        <b/>
        <sz val="8"/>
        <color rgb="FF000000"/>
        <rFont val="Arial"/>
        <family val="2"/>
        <scheme val="minor"/>
      </rPr>
      <t>Analysis – Purpose Definition</t>
    </r>
    <r>
      <rPr>
        <sz val="8"/>
        <color rgb="FF000000"/>
        <rFont val="Arial"/>
        <family val="2"/>
        <scheme val="minor"/>
      </rPr>
      <t xml:space="preserve">
Based on the intended use and application area of the AI system and
the potential risks, relevant data quality characteristics must be defined 
and specific requirements must be set for them.
Analysis risk
Primarily qualitative assessment without probabilities: Identification of potential hazards 
– Assignment of risk responsibility 
– Qualitative assessment of the impact 
– Qualitative grading and prioritisation of hazards.
At least the following risk sources must be considered: 
– Data quality characteristics do not fit the intended use and application area
– Data quality characteristics are poorly met.</t>
    </r>
  </si>
  <si>
    <t>Component</t>
  </si>
  <si>
    <t>System/Component</t>
  </si>
  <si>
    <t>Measure</t>
  </si>
  <si>
    <t>Evaluation</t>
  </si>
  <si>
    <t>Maximum value</t>
  </si>
  <si>
    <t>Minimum value</t>
  </si>
  <si>
    <t>Transparency</t>
  </si>
  <si>
    <t>Traceability &amp; Documentation</t>
  </si>
  <si>
    <t>See also Glossary</t>
  </si>
  <si>
    <t>The purpose and application area of the AI system
are clearly defined and described.</t>
  </si>
  <si>
    <r>
      <rPr>
        <b/>
        <sz val="8"/>
        <color rgb="FF000000"/>
        <rFont val="Arial"/>
        <family val="2"/>
        <scheme val="minor"/>
      </rPr>
      <t>Analysis – Definition</t>
    </r>
    <r>
      <rPr>
        <sz val="8"/>
        <color rgb="FF000000"/>
        <rFont val="Arial"/>
        <family val="2"/>
        <scheme val="minor"/>
      </rPr>
      <t xml:space="preserve">
The intended use is defined in terms of:
i) improvements and benefits that can be achieved with the system; 
ii) functionalities of the AI system by means of which these improvements 
and benefits are to be realized; 
iii) intended/potential/permitted user groups and data subjects.
The scope is defined with reference to the intended use and includes:
– the expected input data and intended system outputs (including format and content);
– a comprehensive description of the contexts/environments for which the 
AI system is suitable and also those in which the AI system may not be used;
– a description of foreseeable abusive or misguided use of the AI system;
– if applicable: definition of an ODD.
The definitions are accessible to relevant stakeholders.</t>
    </r>
  </si>
  <si>
    <r>
      <rPr>
        <b/>
        <sz val="8"/>
        <color rgb="FF000000"/>
        <rFont val="Arial"/>
        <family val="2"/>
        <scheme val="minor"/>
      </rPr>
      <t>Analysis – Definition</t>
    </r>
    <r>
      <rPr>
        <sz val="8"/>
        <color rgb="FF000000"/>
        <rFont val="Arial"/>
        <family val="2"/>
        <scheme val="minor"/>
      </rPr>
      <t xml:space="preserve">
The intended use is defined in terms of the AI system's functionalities, as well as 
the intended/potential/permitted user groups and data subjects. The scope of 
application is defined in relation to the intended use and includes:
– the expected input data and desired system outputs (including format and content)
– a general description of the application contexts/environments for which the 
AI system is suitable and also those in which the AI system may not be used.</t>
    </r>
  </si>
  <si>
    <r>
      <rPr>
        <b/>
        <sz val="8"/>
        <color rgb="FF000000"/>
        <rFont val="Arial"/>
        <family val="2"/>
        <scheme val="minor"/>
      </rPr>
      <t>Analysis – Definition</t>
    </r>
    <r>
      <rPr>
        <sz val="8"/>
        <color rgb="FF000000"/>
        <rFont val="Arial"/>
        <family val="2"/>
        <scheme val="minor"/>
      </rPr>
      <t xml:space="preserve">
The intended use is defined in terms of the AI system's functionalities.
The scope of application is defined in relation to the intended use and includes:
– the expected input data and desired system outputs (including format and content)
– a general description of the deployment contexts/environments for which the 
AI system is suitable.</t>
    </r>
  </si>
  <si>
    <t>The intended use and scope of application
are not clearly defined.</t>
  </si>
  <si>
    <t>The risks associated with a lack of traceability and documentation of the AI system must be analysed.</t>
  </si>
  <si>
    <t>The architecture of the AI system
must be documented.</t>
  </si>
  <si>
    <t>The system's architecture is not documented.</t>
  </si>
  <si>
    <r>
      <rPr>
        <b/>
        <sz val="8"/>
        <color theme="1"/>
        <rFont val="Arial"/>
        <family val="2"/>
        <scheme val="minor"/>
      </rPr>
      <t xml:space="preserve">Technical measures – Other </t>
    </r>
    <r>
      <rPr>
        <sz val="8"/>
        <color theme="1"/>
        <rFont val="Arial"/>
        <family val="2"/>
        <scheme val="minor"/>
      </rPr>
      <t xml:space="preserve">
The system architecture is documented, including:
– AI components (see TR1.4)
– Hardware and software integration and requirements for these
– Interfaces, e.g., for users or to other systems
– Information flow between individual system components
– Justification for the choice of architecture with a description of the role
of each component in the context of the AI system's purpose
– If applicable, the license under which the system may be used
– Planned modalities of the AI system for "independent" adaptation/further
development during operation, including online learning</t>
    </r>
  </si>
  <si>
    <r>
      <rPr>
        <b/>
        <sz val="8"/>
        <color theme="1"/>
        <rFont val="Arial"/>
        <family val="2"/>
        <scheme val="minor"/>
      </rPr>
      <t>Technical measures – Other</t>
    </r>
    <r>
      <rPr>
        <sz val="8"/>
        <color theme="1"/>
        <rFont val="Arial"/>
        <family val="2"/>
        <scheme val="minor"/>
      </rPr>
      <t xml:space="preserve">
The system architecture is documented, including:
– AI components (see TR1.4)
– Hardware and software integration and requirements for these
– Interfaces, e.g., for users or to other systems
– Information flow between individual system components
– If applicable, the license under which the system may be used</t>
    </r>
  </si>
  <si>
    <r>
      <rPr>
        <b/>
        <sz val="8"/>
        <color theme="1"/>
        <rFont val="Arial"/>
        <family val="2"/>
        <scheme val="minor"/>
      </rPr>
      <t>Technical measures – Other</t>
    </r>
    <r>
      <rPr>
        <sz val="8"/>
        <color theme="1"/>
        <rFont val="Arial"/>
        <family val="2"/>
        <scheme val="minor"/>
      </rPr>
      <t xml:space="preserve">
The system architecture is documented, including:
– AI components (see TR1.4)
– Hardware and software integration
– Interfaces, e.g., for users or to other systems
– Information flow between individual system components
– If applicable, the license under which the system may be used</t>
    </r>
  </si>
  <si>
    <t>The characteristics of the AI model(s) 
must be documented.</t>
  </si>
  <si>
    <t>There is no documentation of the AI model(s).</t>
  </si>
  <si>
    <t>The architectural description of the 
AI model can include, for example,
the type of model, the type and number 
of levels/layers in neural networks, as 
well as functions for activation or reward.</t>
  </si>
  <si>
    <r>
      <rPr>
        <b/>
        <sz val="8"/>
        <color theme="1"/>
        <rFont val="Arial"/>
        <family val="2"/>
        <scheme val="minor"/>
      </rPr>
      <t>Technical measures – model</t>
    </r>
    <r>
      <rPr>
        <sz val="8"/>
        <color theme="1"/>
        <rFont val="Arial"/>
        <family val="2"/>
        <scheme val="minor"/>
      </rPr>
      <t xml:space="preserve">
Properties are documented, including:
– Model name
– Model version (history) including date
– Architecture description and diagram of the AI model
– Expected input data
– Expected output data
– Training and test data used
– Expected performance</t>
    </r>
  </si>
  <si>
    <r>
      <rPr>
        <b/>
        <sz val="8"/>
        <color theme="1"/>
        <rFont val="Arial"/>
        <family val="2"/>
        <scheme val="minor"/>
      </rPr>
      <t>Technical measures – model</t>
    </r>
    <r>
      <rPr>
        <sz val="8"/>
        <color theme="1"/>
        <rFont val="Arial"/>
        <family val="2"/>
        <scheme val="minor"/>
      </rPr>
      <t xml:space="preserve">
Properties are documented, including:
– Model name
– Latest model version with date
– General architectural description of the AI model
– Expected input data
– Expected output data
– Training and test data used
– Expected performance</t>
    </r>
  </si>
  <si>
    <r>
      <rPr>
        <b/>
        <sz val="8"/>
        <color rgb="FF000000"/>
        <rFont val="Arial"/>
        <family val="2"/>
        <scheme val="minor"/>
      </rPr>
      <t>Technical measures – model</t>
    </r>
    <r>
      <rPr>
        <sz val="8"/>
        <color rgb="FF000000"/>
        <rFont val="Arial"/>
        <family val="2"/>
        <scheme val="minor"/>
      </rPr>
      <t xml:space="preserve">
Properties are documented, including:
– Model name
– Model version (history) including date
– Architecture description and diagram of the AI model
– Expected input data
– Expected output data
– Training and test data used
– Expected performance
– Tests performed, test results obtained, and conclusions drawn.
The choice of architecture and design of the AI system and/or model must 
be justified, including a description of the model's advantages and considerations regarding potential conflicts of objectives.</t>
    </r>
  </si>
  <si>
    <t>The characteristics of the datasets used 
must be documented.</t>
  </si>
  <si>
    <t>The design and development process 
of the AI system must be described.</t>
  </si>
  <si>
    <t>The design and development process 
was not documented.</t>
  </si>
  <si>
    <r>
      <rPr>
        <b/>
        <sz val="8"/>
        <color rgb="FF000000"/>
        <rFont val="Arial"/>
        <family val="2"/>
        <scheme val="minor"/>
      </rPr>
      <t xml:space="preserve">Organisational measure – System-related processes </t>
    </r>
    <r>
      <rPr>
        <sz val="8"/>
        <color rgb="FF000000"/>
        <rFont val="Arial"/>
        <family val="2"/>
        <scheme val="minor"/>
      </rPr>
      <t xml:space="preserve">
The documentation for the design and development process includes:
– Overview of the responsible person(s) and their tasks
– Traceability and systematic approach of individual work elements
(e.g., through a project management tool)
– If applicable, description and justification of the adjustments 
to the AI system's architecture during development
</t>
    </r>
    <r>
      <rPr>
        <b/>
        <sz val="8"/>
        <color rgb="FF000000"/>
        <rFont val="Arial"/>
        <family val="2"/>
        <scheme val="minor"/>
      </rPr>
      <t>Technical measures – Data</t>
    </r>
    <r>
      <rPr>
        <sz val="8"/>
        <color rgb="FF000000"/>
        <rFont val="Arial"/>
        <family val="2"/>
        <scheme val="minor"/>
      </rPr>
      <t xml:space="preserve">
The documentation for the design and development process includes:
– Data used and its origin
– Relevant data preparation processes 
(e.g., cleaning, annotation, tagging, enrichment, aggregation, feature engineering)
– Tracing the data lineage and possible data recovery
</t>
    </r>
    <r>
      <rPr>
        <b/>
        <sz val="8"/>
        <color rgb="FF000000"/>
        <rFont val="Arial"/>
        <family val="2"/>
        <scheme val="minor"/>
      </rPr>
      <t>Technical measures – Model</t>
    </r>
    <r>
      <rPr>
        <sz val="8"/>
        <color rgb="FF000000"/>
        <rFont val="Arial"/>
        <family val="2"/>
        <scheme val="minor"/>
      </rPr>
      <t xml:space="preserve">
The documentation for the design and development process includes:
– A system for version control and tracking of changes to the AI models, 
and recording of the training and the data used in each case
– Description of the changes to AI models during the development process</t>
    </r>
  </si>
  <si>
    <t>For the documentation of data sets 
and models, common formats such
as data sheets or model cards can 
be used.</t>
  </si>
  <si>
    <t>The AI system must include functions for 
monitoring, capturing, and recording its behavior.</t>
  </si>
  <si>
    <t>A record of important system data 
has not been prepared.</t>
  </si>
  <si>
    <r>
      <rPr>
        <b/>
        <sz val="8"/>
        <color rgb="FF000000"/>
        <rFont val="Arial"/>
        <family val="2"/>
        <scheme val="minor"/>
      </rPr>
      <t>Organisational measures – System-related processes</t>
    </r>
    <r>
      <rPr>
        <sz val="8"/>
        <color rgb="FF000000"/>
        <rFont val="Arial"/>
        <family val="2"/>
        <scheme val="minor"/>
      </rPr>
      <t xml:space="preserve">
A purpose-oriented logging concept for the AI system and the data used 
within it during development and operation must be created. The concept 
must include at least the following information:
– Definition of the data and metrics to be monitored
– Definition of a purpose-appropriate log retention period
– Definition of a purpose-appropriate recording frequency
– Definition of the recording structure
– Description of the interface through which the logging can be accessed
</t>
    </r>
    <r>
      <rPr>
        <b/>
        <sz val="8"/>
        <color rgb="FF000000"/>
        <rFont val="Arial"/>
        <family val="2"/>
        <scheme val="minor"/>
      </rPr>
      <t>Technical measures – Operation</t>
    </r>
    <r>
      <rPr>
        <sz val="8"/>
        <color rgb="FF000000"/>
        <rFont val="Arial"/>
        <family val="2"/>
        <scheme val="minor"/>
      </rPr>
      <t xml:space="preserve">
An interface exists that allows for the collection and monitoring of at least
the following information during operation:
– If technically possible and meaningful in the application context, user
interactions and model requests, including the model version used for the 
request, inputs and outputs over a defined period
– Malfunctions (e.g., during the processing of automatic or manual actions)
– User access to data, services, or functions
– Changes to security-relevant configuration parameters (e.g., error handling 
and logging mechanisms, user authentication, action authorization, cryptography,
and communication security)
– Violations of the functionality, security, or quality objectives of the AI system.
If logging certain information is not technically feasible, this must be justified.
The metadata to be collected in each case captures, within the scope of technical possibilities, at least information about:
– Type, time, duration, storage location, and actor/system of recorded 
events or actions.</t>
    </r>
  </si>
  <si>
    <r>
      <rPr>
        <b/>
        <sz val="8"/>
        <color theme="1"/>
        <rFont val="Arial"/>
        <family val="2"/>
        <scheme val="minor"/>
      </rPr>
      <t>Organisational measures – System-related processes</t>
    </r>
    <r>
      <rPr>
        <sz val="8"/>
        <color theme="1"/>
        <rFont val="Arial"/>
        <family val="2"/>
        <scheme val="minor"/>
      </rPr>
      <t xml:space="preserve">
A purpose-oriented logging concept for the AI system and the data used
within it during development and operation must be created. The concept 
must include at least the following information:
– Definition of the data and metrics to be monitored
– Definition of a purpose-appropriate log retention period
– Definition of a purpose-appropriate recording frequency
– Definition of the recording structure
– Description of the interface through which the logging can be accessed
</t>
    </r>
    <r>
      <rPr>
        <b/>
        <sz val="8"/>
        <color theme="1"/>
        <rFont val="Arial"/>
        <family val="2"/>
        <scheme val="minor"/>
      </rPr>
      <t>Technical measures – Operation</t>
    </r>
    <r>
      <rPr>
        <sz val="8"/>
        <color theme="1"/>
        <rFont val="Arial"/>
        <family val="2"/>
        <scheme val="minor"/>
      </rPr>
      <t xml:space="preserve">
An interface exists that allows for the recording and monitoring of at least 
the following information during operation:
– If technically possible and meaningful within the application context, user
interactions and model requests, including the model version used for the request, inputs, and outputs
– Malfunctions (e.g., during the processing of automatic or manual actions).
If logging certain information is not technically feasible, this must be justified.
The metadata to be recorded in each case captures, within the scope of technical possibilities, at least the following information:
– Type, time, duration, storage location, and actor/system of recorded events 
or actions.</t>
    </r>
  </si>
  <si>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</si>
  <si>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</si>
  <si>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</si>
  <si>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t>Explainability &amp; Interpretability</t>
  </si>
  <si>
    <t>The risks associated with a lack of interpretability
or explainability of the AI system must be analysed.</t>
  </si>
  <si>
    <t>The interpretability and explainability 
of the AI system were not analysed.</t>
  </si>
  <si>
    <r>
      <rPr>
        <b/>
        <sz val="8"/>
        <color rgb="FF000000"/>
        <rFont val="Arial"/>
        <family val="2"/>
        <scheme val="minor"/>
      </rPr>
      <t>Technical measure – tests</t>
    </r>
    <r>
      <rPr>
        <sz val="8"/>
        <color rgb="FF000000"/>
        <rFont val="Arial"/>
        <family val="2"/>
        <scheme val="minor"/>
      </rPr>
      <t xml:space="preserve">
The degree to which the AI system is interpretable or explainable for the 
permitted user groups must be analysed taking into account the risk analysis 
(TR2.1) and intended purpose (TR1.1).
For this purpose, the relationship between inputs and outputs of the 
AI components of the system must be examined based on the inherent 
characteristics of the component or suitable technical tests.
– Basic methods are sufficient (in terms of complexity, information content, implementation effort, e.g. a simple metric)</t>
    </r>
  </si>
  <si>
    <r>
      <rPr>
        <b/>
        <sz val="8"/>
        <color rgb="FF000000"/>
        <rFont val="Arial"/>
        <family val="2"/>
        <scheme val="minor"/>
      </rPr>
      <t>Technical measure – tests</t>
    </r>
    <r>
      <rPr>
        <sz val="8"/>
        <color rgb="FF000000"/>
        <rFont val="Arial"/>
        <family val="2"/>
        <scheme val="minor"/>
      </rPr>
      <t xml:space="preserve">
The degree to which the AI system is interpretable or explainable for 
the permitted user groups must be analysed taking into account the risk analysis 
(TR2.1) and intended purpose (TR1.1).
For this purpose, the relationship between inputs and outputs of 
the AI components of the system must be examined based on the inherent characteristics of the component or suitable technical tests.
The selected tests should have at least the following characteristics:
If justified by the selection criteria, the metrics and tests should include 
both important basic methods and advanced methods (in terms of complexity, information content, implementation effort, e.g., comprehensive testing tools).</t>
    </r>
  </si>
  <si>
    <t>Measures must be taken to make the AI system interpretable or adequately explainable with regard
to its intended use.</t>
  </si>
  <si>
    <t>No appropriate measures were taken 
to establish interpretability or explainability.</t>
  </si>
  <si>
    <t>It must be assessed whether the measures taken
have reduced the identified risks to an acceptable 
level and whether the quality of the AI system meets 
the set targets.</t>
  </si>
  <si>
    <r>
      <rPr>
        <b/>
        <sz val="8"/>
        <color theme="1"/>
        <rFont val="Arial"/>
        <family val="2"/>
        <scheme val="minor"/>
      </rPr>
      <t xml:space="preserve">Evaluation </t>
    </r>
    <r>
      <rPr>
        <sz val="8"/>
        <color theme="1"/>
        <rFont val="Arial"/>
        <family val="2"/>
        <scheme val="minor"/>
      </rPr>
      <t xml:space="preserve">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</si>
  <si>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</si>
  <si>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t>Human capacity for action</t>
  </si>
  <si>
    <t>The degree of autonomy of the AI system
must be analysed and documented.</t>
  </si>
  <si>
    <t>Autonomy levels are presented
in ISO/IEC 22989.</t>
  </si>
  <si>
    <t>No classification of the level of autonomy
was made.</t>
  </si>
  <si>
    <t>The risks associated with the restriction of human agency by the AI system must be analysed.</t>
  </si>
  <si>
    <r>
      <rPr>
        <b/>
        <sz val="8"/>
        <color rgb="FF000000"/>
        <rFont val="Arial"/>
        <family val="2"/>
        <scheme val="minor"/>
      </rPr>
      <t>Analysis risk</t>
    </r>
    <r>
      <rPr>
        <sz val="8"/>
        <color rgb="FF000000"/>
        <rFont val="Arial"/>
        <family val="2"/>
        <scheme val="minor"/>
      </rPr>
      <t xml:space="preserve">
Primarily qualitative assessment without probabilities:
– Identification of potential hazards
– Assignment of risk responsibility
– Qualitative assessment of impact
– Qualitative grading and prioritisation of risks.
At least the following risk sources must be considered, 
taking into account the intended use (see TR1.1):
– Ethical dilemmas / decision-making
– Unclear accountability
– Automation bias
– Pretending to be human or unclear authorship
– Lack of traceability of decisions</t>
    </r>
  </si>
  <si>
    <r>
      <rPr>
        <b/>
        <sz val="8"/>
        <color rgb="FF000000"/>
        <rFont val="Arial"/>
        <family val="2"/>
        <scheme val="minor"/>
      </rPr>
      <t>Analysis risk</t>
    </r>
    <r>
      <rPr>
        <sz val="8"/>
        <color rgb="FF000000"/>
        <rFont val="Arial"/>
        <family val="2"/>
        <scheme val="minor"/>
      </rPr>
      <t xml:space="preserve">
Limited risk analysis focusing on protection needs without quantifying probabilities:
– Identification of potential risks
– Assignment of risk responsibility
– Estimation of impact
– Structured grading and prioritisation of risks.
At least the following risk sources must be considered, 
taking into account the intended use (see TR1.1):
– Ethical dilemmas / decision-making
– Unclear accountability
– Automation bias
– Pretending to be human or unclear authorship
– Lack of traceability of decisions</t>
    </r>
  </si>
  <si>
    <r>
      <rPr>
        <b/>
        <sz val="8"/>
        <color rgb="FF000000"/>
        <rFont val="Arial"/>
        <family val="2"/>
        <scheme val="minor"/>
      </rPr>
      <t>Analysis risk</t>
    </r>
    <r>
      <rPr>
        <sz val="8"/>
        <color rgb="FF000000"/>
        <rFont val="Arial"/>
        <family val="2"/>
        <scheme val="minor"/>
      </rPr>
      <t xml:space="preserv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Ethical dilemmas / decision-making
– Unclear accountability
– Automation bias / excessive dependence
– Pretending to be human or unclear authorship
– Lack of traceability of decisions</t>
    </r>
  </si>
  <si>
    <t>It must be possible to give feedback on the 
AI system, ask questions, and report problems.</t>
  </si>
  <si>
    <t>There are no channels available to provide feedback on the AI system.</t>
  </si>
  <si>
    <r>
      <rPr>
        <b/>
        <sz val="8"/>
        <color theme="1"/>
        <rFont val="Arial"/>
        <family val="2"/>
        <scheme val="minor"/>
      </rPr>
      <t>Technical measures – Operation</t>
    </r>
    <r>
      <rPr>
        <sz val="8"/>
        <color theme="1"/>
        <rFont val="Arial"/>
        <family val="2"/>
        <scheme val="minor"/>
      </rPr>
      <t xml:space="preserve">
– There is at least one channel through which the provider can be 
contacted for the purpose of providing feedback.
– Channels are clearly identifiable within the context of the AI system 
by anyone with a legitimate interest.
– It is evident that the possible channels for providing feedback are provided.
</t>
    </r>
    <r>
      <rPr>
        <b/>
        <sz val="8"/>
        <color theme="1"/>
        <rFont val="Arial"/>
        <family val="2"/>
        <scheme val="minor"/>
      </rPr>
      <t xml:space="preserve">Organisational measures – System-related processes 
</t>
    </r>
    <r>
      <rPr>
        <sz val="8"/>
        <color theme="1"/>
        <rFont val="Arial"/>
        <family val="2"/>
        <scheme val="minor"/>
      </rPr>
      <t>– Review and verification of feedback and assignment of responsibility for it
– Guaranteed and individualized response to inquiries
– Process for forwarding and incorporating feedback into the further 
development of the AI system</t>
    </r>
  </si>
  <si>
    <r>
      <rPr>
        <b/>
        <sz val="8"/>
        <color theme="1"/>
        <rFont val="Arial"/>
        <family val="2"/>
        <scheme val="minor"/>
      </rPr>
      <t>Technical measures – Operation</t>
    </r>
    <r>
      <rPr>
        <sz val="8"/>
        <color theme="1"/>
        <rFont val="Arial"/>
        <family val="2"/>
        <scheme val="minor"/>
      </rPr>
      <t xml:space="preserve">
– There is at least one channel through which the provider can be 
contacted for the purpose of providing feedback. 
– Channels are clearly identifiable within the context of the AI system 
by anyone with a legitimate interest.
</t>
    </r>
    <r>
      <rPr>
        <b/>
        <sz val="8"/>
        <color theme="1"/>
        <rFont val="Arial"/>
        <family val="2"/>
        <scheme val="minor"/>
      </rPr>
      <t xml:space="preserve">Organisational measures – System-related processes </t>
    </r>
    <r>
      <rPr>
        <sz val="8"/>
        <color theme="1"/>
        <rFont val="Arial"/>
        <family val="2"/>
        <scheme val="minor"/>
      </rPr>
      <t xml:space="preserve">
– Review and verification of the feedback and assignment of responsibility 
for it takes place</t>
    </r>
  </si>
  <si>
    <r>
      <rPr>
        <b/>
        <sz val="8"/>
        <color theme="1"/>
        <rFont val="Arial"/>
        <family val="2"/>
        <scheme val="minor"/>
      </rPr>
      <t>Technical measures – Operation</t>
    </r>
    <r>
      <rPr>
        <sz val="8"/>
        <color theme="1"/>
        <rFont val="Arial"/>
        <family val="2"/>
        <scheme val="minor"/>
      </rPr>
      <t xml:space="preserve">
– The contact information is attached to the AI system and can be 
used for feedback purposes.</t>
    </r>
  </si>
  <si>
    <t>The provision of notifications 
and instructions can be done 
via a graphical interface.</t>
  </si>
  <si>
    <r>
      <rPr>
        <b/>
        <sz val="8"/>
        <color rgb="FF000000"/>
        <rFont val="Arial"/>
        <family val="2"/>
        <scheme val="minor"/>
      </rPr>
      <t xml:space="preserve">Organisational measures – User instructions
</t>
    </r>
    <r>
      <rPr>
        <sz val="8"/>
        <color rgb="FF000000"/>
        <rFont val="Arial"/>
        <family val="2"/>
        <scheme val="minor"/>
      </rPr>
      <t xml:space="preserve">Provision of instructions and information containing at least the following:
– Contact information
– Purpose of the AI system
– Intended scope of application of the AI system
– Description of how to interpret the outputs of the AI system
– Necessary measures for human oversight of the system
</t>
    </r>
    <r>
      <rPr>
        <b/>
        <sz val="8"/>
        <color rgb="FF000000"/>
        <rFont val="Arial"/>
        <family val="2"/>
        <scheme val="minor"/>
      </rPr>
      <t>Technical measures – Operation</t>
    </r>
    <r>
      <rPr>
        <sz val="8"/>
        <color rgb="FF000000"/>
        <rFont val="Arial"/>
        <family val="2"/>
        <scheme val="minor"/>
      </rPr>
      <t xml:space="preserve">
– Integration of notifications to individuals interacting with the AI system informing
them that the results and potential decision-making are based on the AI system
– Warning about so-called "automation bias" and its potential consequences</t>
    </r>
  </si>
  <si>
    <r>
      <rPr>
        <b/>
        <sz val="8"/>
        <color rgb="FF000000"/>
        <rFont val="Arial"/>
        <family val="2"/>
        <scheme val="minor"/>
      </rPr>
      <t xml:space="preserve">Technical measures – Operation </t>
    </r>
    <r>
      <rPr>
        <sz val="8"/>
        <color rgb="FF000000"/>
        <rFont val="Arial"/>
        <family val="2"/>
        <scheme val="minor"/>
      </rPr>
      <t xml:space="preserve">
The appropriate mechanisms for challenging, correcting, or interrupting 
the AI system must be tailored to the identified risks, the purpose of the 
AI system, and the target audience of the action.
Measures to be considered include at least:
– An objection form through which decisions can be challenged;
– Referral to a human review process where a qualified and authorised person 
must confirm a decision or process an output;
– An emergency stop function that allows an authorised person to put the system
into a safe state;
– An interactive graphical user interface to illustrate the actions.</t>
    </r>
  </si>
  <si>
    <r>
      <rPr>
        <b/>
        <sz val="8"/>
        <color theme="1"/>
        <rFont val="Arial"/>
        <family val="2"/>
        <scheme val="minor"/>
      </rPr>
      <t>Technical measures – Operation</t>
    </r>
    <r>
      <rPr>
        <sz val="8"/>
        <color theme="1"/>
        <rFont val="Arial"/>
        <family val="2"/>
        <scheme val="minor"/>
      </rPr>
      <t xml:space="preserve">
The appropriate mechanisms for challenging, correcting, or interrupting the
AI system must be tailored to the identified risks, the purpose of the AI system, 
and the target audience of the action.
Measures to be considered include at least:
– Appeal form for submitting challenges to decisions
– Forwarding to a human review process where a qualified and authorised person 
must confirm a decision or process an output
– Emergency stop function which puts the system into a safe state by an 
authorised person
– Interactive graphical user interface to illustrate the actions</t>
    </r>
  </si>
  <si>
    <r>
      <rPr>
        <b/>
        <sz val="8"/>
        <color theme="1"/>
        <rFont val="Arial"/>
        <family val="2"/>
        <scheme val="minor"/>
      </rPr>
      <t>Technical measures – Operation</t>
    </r>
    <r>
      <rPr>
        <sz val="8"/>
        <color theme="1"/>
        <rFont val="Arial"/>
        <family val="2"/>
        <scheme val="minor"/>
      </rPr>
      <t xml:space="preserve">
Measures under consideration include at least:
– Appeal form for submitting challenges to decisions
– Forwarding to a human review process where a qualified and authorised person
must confirm a decision or process an output
– Emergency stop function which a natural person can use to put the system
into a safe state
– Interactive graphical user interface to illustrate the actions</t>
    </r>
  </si>
  <si>
    <t>There are no mechanisms in place 
to challenge, correct, or interrupt the 
AI system.</t>
  </si>
  <si>
    <t>Both human-in-the-loop (HITL) 
and human-on-the-loop (HOTL)
designs are possible.</t>
  </si>
  <si>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</si>
  <si>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</si>
  <si>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t>The degree of autonomy of the AI system must be analysed and documented.</t>
  </si>
  <si>
    <t>The AI system must be able to be monitored 
during development and operation.</t>
  </si>
  <si>
    <r>
      <rPr>
        <b/>
        <sz val="8"/>
        <rFont val="Arial"/>
        <family val="2"/>
        <scheme val="minor"/>
      </rPr>
      <t>Technical measure – Operation</t>
    </r>
    <r>
      <rPr>
        <sz val="8"/>
        <rFont val="Arial"/>
        <family val="2"/>
        <scheme val="minor"/>
      </rPr>
      <t xml:space="preserve">
Continuous monitoring must be provided for during the implementation 
of the AI system and be implemented based on appropriate logging (see TR1.7).
This includes the following:
– Performance monitoring, including monitoring of the models and data 
(i.e., incoming production data and, if applicable, the expanding training database)
- Bias monitoring, including monitoring of the data (i.e., incoming production data 
and, if applicable, the expanding training database) in the context of preventing 
unfair discrimination and biases
– Conducting tests (e.g., sanity checks) used within the monitoring framework 
to detect model and concept drift, or harmful input data</t>
    </r>
  </si>
  <si>
    <r>
      <rPr>
        <b/>
        <sz val="8"/>
        <color rgb="FF000000"/>
        <rFont val="Arial"/>
        <family val="2"/>
        <scheme val="minor"/>
      </rPr>
      <t>Technical measure – Operation</t>
    </r>
    <r>
      <rPr>
        <sz val="8"/>
        <color rgb="FF000000"/>
        <rFont val="Arial"/>
        <family val="2"/>
        <scheme val="minor"/>
      </rPr>
      <t xml:space="preserve">
Continuous monitoring must be provided for during the implementation 
of the AI system and be implemented based on appropriate logging (see TR1.7). 
This includes the following:
– Performance monitoring, including monitoring of the models and data 
i.e., incoming production data and, if applicable, the expanding training database)
– Bias monitoring, including monitoring of the data (i.e., incoming production data 
and, if applicable, the expanding training database) in the context of preventing 
unfair discrimination and biases
– Conducting tests (e.g., sanity checks) used within the monitoring framework 
to detect model and concept drift, or harmful input data
</t>
    </r>
    <r>
      <rPr>
        <b/>
        <sz val="8"/>
        <color rgb="FF000000"/>
        <rFont val="Arial"/>
        <family val="2"/>
        <scheme val="minor"/>
      </rPr>
      <t xml:space="preserve">Organisational measure – System-related processes
</t>
    </r>
    <r>
      <rPr>
        <sz val="8"/>
        <color rgb="FF000000"/>
        <rFont val="Arial"/>
        <family val="2"/>
        <scheme val="minor"/>
      </rPr>
      <t>In addition to the technical implementation of monitoring, the following 
aspects should be prepared:
– A concept for the (automatic) monitoring and testing of major changes
to the AI system, including software and hardware components, but especially 
in the case of online learning
– Recommended tests must be documented as part of a continuous testing plan, especially in the case of online learning</t>
    </r>
  </si>
  <si>
    <r>
      <rPr>
        <b/>
        <sz val="8"/>
        <color theme="1"/>
        <rFont val="Arial"/>
        <family val="2"/>
        <scheme val="minor"/>
      </rPr>
      <t>Organisational measures – User instructions</t>
    </r>
    <r>
      <rPr>
        <sz val="8"/>
        <color theme="1"/>
        <rFont val="Arial"/>
        <family val="2"/>
        <scheme val="minor"/>
      </rPr>
      <t xml:space="preserve">
Provision of instructions and information with at least the following content:
– Contact information
– Purpose of the AI system
– Intended scope of application of the AI system
– Description of how to interpret the outputs of the AI system
– Necessary (or possible) measures for human oversight and control 
of the system, when these should/can be applied, and how it will be recognized
that human intervention is required
– Necessary maintenance measures (including software updates)</t>
    </r>
  </si>
  <si>
    <r>
      <rPr>
        <b/>
        <sz val="8"/>
        <rFont val="Arial"/>
        <family val="2"/>
        <scheme val="minor"/>
      </rPr>
      <t>Organisational measures – User instructions</t>
    </r>
    <r>
      <rPr>
        <sz val="8"/>
        <rFont val="Arial"/>
        <family val="2"/>
        <scheme val="minor"/>
      </rPr>
      <t xml:space="preserve">
Provision of instructions and information tailored to the target audience, 
containing at least the following information:
– Contact information
– Purpose of the AI system
– Intended scope of application of the AI system
– Description of how to interpret the outputs of the AI system
– Necessary (and possible) measures for human oversight and control 
of the system, when these should/can be applied, and how it will be recognized 
that human intervention is required
– Necessary maintenance measures (including software updates)
</t>
    </r>
    <r>
      <rPr>
        <b/>
        <sz val="8"/>
        <rFont val="Arial"/>
        <family val="2"/>
        <scheme val="minor"/>
      </rPr>
      <t xml:space="preserve">Organisational measures – training
</t>
    </r>
    <r>
      <rPr>
        <sz val="8"/>
        <rFont val="Arial"/>
        <family val="2"/>
        <scheme val="minor"/>
      </rPr>
      <t>To qualify and train the personnel responsible for operating and monitoring 
the AI system, target group-oriented training materials have been developed. 
These materials focus on proper use and increased safety awareness. 
The materials cover at least the following aspects:
– Proper handling of system components in the production environment
– Monitoring the performance of the AI system and its components
– Information on potential threat scenarios and corresponding mitigation
measures (e.g., interventions)
– Procedures in the event of security incidents</t>
    </r>
  </si>
  <si>
    <r>
      <rPr>
        <b/>
        <sz val="8"/>
        <color rgb="FF000000"/>
        <rFont val="Arial"/>
        <family val="2"/>
        <scheme val="minor"/>
      </rPr>
      <t>Organisational measures – User instructions</t>
    </r>
    <r>
      <rPr>
        <sz val="8"/>
        <color rgb="FF000000"/>
        <rFont val="Arial"/>
        <family val="2"/>
        <scheme val="minor"/>
      </rPr>
      <t xml:space="preserve">
Provision of target-group-oriented instructions and information with at least
the following content:
– Contact information
– Purpose of the AI system
– Intended application area of the AI system
– Expected performance and functionality of the AI system
– Known risks and implications for the use (of the results) of the AI system
– Summary of the expected input data
– Description of how to interpret the outputs of the AI system
– Description of the degree of autonomy and decision-making processes 
of the AI system
– Necessary/possible measures for human oversight and control of the system,
when these should/can be applied, and how it will be recognized that human 
intervention is required
– Requirements for users (e.g., training) for using the AI system
– Necessary maintenance measures (including software updates)
</t>
    </r>
    <r>
      <rPr>
        <b/>
        <sz val="8"/>
        <color rgb="FF000000"/>
        <rFont val="Arial"/>
        <family val="2"/>
        <scheme val="minor"/>
      </rPr>
      <t xml:space="preserve">Organisational measures – training
</t>
    </r>
    <r>
      <rPr>
        <sz val="8"/>
        <color rgb="FF000000"/>
        <rFont val="Arial"/>
        <family val="2"/>
        <scheme val="minor"/>
      </rPr>
      <t>To qualify and train the personnel responsible for operating and monitoring 
the AI system, target group-oriented training materials have been developed. 
These materials focus on proper use and increased security awareness. 
The materials cover at least the following aspects:
– Proper handling of system components in the production environment
– Proper handling of relevant data types (e.g., training and validation data, 
operational data, customer data), also in accordance with applicable guidelines 
and legal and regulatory requirements
– Appropriate execution of training, validation, and testing during the operation 
of the AI system and its components
– Monitoring the performance of the AI system and its components
– Information on potential threat scenarios and associated mitigation measures 
(e.g., interventions)
– Response in the event of security incidents</t>
    </r>
  </si>
  <si>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</si>
  <si>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</si>
  <si>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t>Analysis</t>
  </si>
  <si>
    <t>Reliability</t>
  </si>
  <si>
    <t>Performance and robustness</t>
  </si>
  <si>
    <t>Risks that could lead to insufficient performance 
and robustness of AI components of the AI system 
must be analysed taking into account the intended 
use.</t>
  </si>
  <si>
    <r>
      <rPr>
        <b/>
        <sz val="8"/>
        <color rgb="FF000000"/>
        <rFont val="Arial"/>
        <family val="2"/>
        <scheme val="minor"/>
      </rPr>
      <t>Analysis – Risk</t>
    </r>
    <r>
      <rPr>
        <sz val="8"/>
        <color rgb="FF000000"/>
        <rFont val="Arial"/>
        <family val="2"/>
        <scheme val="minor"/>
      </rPr>
      <t xml:space="preserve">
Limited risk analysis focusing on protection requirements without quantifying probabilities 
– Identification of potential risks 
– Allocation of risk responsibility 
– Estimation of impact 
– Structured grading and prioritisation of risks.
At least the following risk sources must be considered, 
taking into account the intended use (see TR1.1): 
– Faulty model training, incorrect model selection, or unsuitable optimisation 
and validation strategies 
– Poorly chosen metrics and tests 
– Limitations in model training, e.g., due to insufficient or inadequate training, 
validation, or test data, overfitting 
– Hardware limitations in training and inference 
– Need for a well-calibrated uncertainty estimation 
– Impact of changes to the AI system's composition (software and hardware levels), particularly risks from retraining or online learning</t>
    </r>
  </si>
  <si>
    <t>No risk analysis or hazard assessment 
was carried out.</t>
  </si>
  <si>
    <t>When using models from external 
providers, provide documentation 
and clear justifications for validation.
 Unlike VE2.1, this is not about the 
risks arising from an AI system with insufficient performance, but about the 
risks that lead to insufficient performance itself and can thus jeopardize the intended use.
Risk = Hazard x Probability of occurrence.</t>
  </si>
  <si>
    <t>When using models from external 
providers, provide documentation 
and clear justifications for validation.
The intended functionality should be 
evident from the purpose and application 
area.
Distinguish between basic and advanced methods:
– The "Technical Test Method 
Collection.xlsx" lists some common
methods and categorizes them as 
basic and advanced.
– Self-developed test methods are recognized as advanced methods. 
The selected metrics and tests should 
allow for a high degree of automation 
where possible.</t>
  </si>
  <si>
    <t>No metrics or tests were systematically 
defined to examine the system's performance.</t>
  </si>
  <si>
    <t>Suitable metrics and tests must be defined
to assess whether the robustness of the AI
system achieves the intended functionality.</t>
  </si>
  <si>
    <t>No metrics or tests were systematically 
defined to examine the robustness of
the system.</t>
  </si>
  <si>
    <t>A test plan must be developed and implemented 
that includes checking all planned metrics and tests, including testing the AI system under representative conditions of the application domain.</t>
  </si>
  <si>
    <t>No systematic test plans were defined.</t>
  </si>
  <si>
    <t xml:space="preserve"> The classification of metrics and 
methods from simple to advanced 
depends on many details, but is 
broadly based on complexity and 
expected information content 
(e.g., simple metric, benchmark, 
up to expert-driven validation approaches such as systematic vulnerability scanning, visual exploration, application of XAI methods, etc.).
The degree of test automation also 
plays a role; where possible, auto-
matable methods should be preferred.</t>
  </si>
  <si>
    <r>
      <rPr>
        <b/>
        <sz val="8"/>
        <color theme="1"/>
        <rFont val="Arial"/>
        <family val="2"/>
        <scheme val="minor"/>
      </rPr>
      <t>Organisational measures – System-related processes</t>
    </r>
    <r>
      <rPr>
        <sz val="8"/>
        <color theme="1"/>
        <rFont val="Arial"/>
        <family val="2"/>
        <scheme val="minor"/>
      </rPr>
      <t xml:space="preserve">
Documented test plan for performance and robustness, defining at least 
the following points (e.g., in tabular form): 
– Test objects must be defined (i.e., model to be tested (with version number) 
or other component/algorithm to be tested, such as an uncertainty estimator 
for evaluating outlier effects) 
– Proposed test methods must include at least the metrics and tests previously 
defined in VE1.2-VE1.3 and must, as far as possible, cover performance, 
robustness, and uncertainty estimation. The characteristics of the test methods 
must be clearly and comprehensively defined with regard to complexity and 
information content.
– Additional specifications for the test parameters may need to be established.
The test data used must be described. 
– The timing and frequency of the tests must be specified, including the preparation 
of test plans for a future operational phase of the AI system. This is necessary to continuously test the performance and robustness of the AI system, particularly with regard to changes in system composition or changing training data (see VE1.6). 
– The test resources required for execution (software and hardware requirements) 
must be determined and documented.
– The person responsible for conducting and documenting the tests must
be designated.</t>
    </r>
  </si>
  <si>
    <r>
      <rPr>
        <b/>
        <sz val="8"/>
        <color theme="1"/>
        <rFont val="Arial"/>
        <family val="2"/>
        <scheme val="minor"/>
      </rPr>
      <t>organisational measures – System-related processes</t>
    </r>
    <r>
      <rPr>
        <sz val="8"/>
        <color theme="1"/>
        <rFont val="Arial"/>
        <family val="2"/>
        <scheme val="minor"/>
      </rPr>
      <t xml:space="preserve">
Documented test plan for performance and robustness, defining at least
the following points (e.g., in tabular form): 
– Test objects must be defined (i.e., model to be tested (with version number)
or other component/algorithm to be tested, such as an uncertainty estimator
for evaluating outlier effects) 
– Proposed test methods must include at least the metrics and tests previously 
defined in VE1.2
– VE1.3 and must, as far as possible, cover performance, robustness, and 
uncertainty estimation. Depending on the previously determined analysis, 
advanced methods may need to be included in the test plan (for example, regarding implementation effort and hardware requirements), and the characteristics of the 
test methods must be clearly and comprehensively defined with regard to complexity 
and information content. Additional specifications for the test parameters may need 
to be defined.
– The test data used must be described. 
– The test environment must allow testing of the AI system under representative conditions of the application domain, closely resembling the later production environment. 
– The timing and frequency of the tests must be defined, including the preparation 
of test plans for a future operational phase of the AI system to continuously test
its performance and robustness, particularly with regard to changes in system composition or changing training data (see VE1.6). 
– The impact of potentially significant changes to the AI system on robustness 
tests must be considered. 
– The test resources required for execution (software and hardware requirements)
must be determined and documented. 
– The person responsible for conducting and documenting the tests must 
be designated. The test plan must be justified with reference to the application 
context (including, if applicable, an ODD) and to VE1.2-VE1.3 with an argument 
that the test plan covers all important aspects of performance and robustness 
(regarding all necessary, representative scenarios).</t>
    </r>
  </si>
  <si>
    <r>
      <rPr>
        <b/>
        <sz val="8"/>
        <color theme="1"/>
        <rFont val="Arial"/>
        <family val="2"/>
        <scheme val="minor"/>
      </rPr>
      <t>Organisational measures – System-related processes</t>
    </r>
    <r>
      <rPr>
        <sz val="8"/>
        <color theme="1"/>
        <rFont val="Arial"/>
        <family val="2"/>
        <scheme val="minor"/>
      </rPr>
      <t xml:space="preserve">
Documented test plan for performance and robustness, defining at least
the following points (e.g., in tabular form): 
– Test objects must be defined (i.e., model to be tested (with version number) 
or other component/algorithm to be tested, such as an uncertainty estimator 
for evaluating outlier effects) 
– Proposed test methods must include at least the metrics and tests previously
defined in VE1.2-VE1.3 and must, as far as possible, cover performance,
robustness, and uncertainty estimation. Depending on the previously determined analysis, advanced methods may need to be included in the test plan (for example, regarding implementation effort and hardware requirements), and the characteristics
of the test methods must be clearly and comprehensively defined with regard to complexity and information content. 
– Additional specifications for the test parameters may need to be defined. 
– The test data used must be described. 
– The test environment must allow testing of the AI system under conditions as representative as possible of the application domain, but does not necessarily 
have to exactly reflect the final production environment. 
– The timing and frequency of the tests must be defined, including the preparation
of test plans for a future operational phase of the AI system, in order to continuously 
test the performance and robustness of the AI system, especially with regard
to changes in the system composition or changing training data (see VE1.6). 
– The test resources required for execution (software and hardware requirements)
must be determined and documented. The person responsible for conducting and documenting the tests must be designated. 
– The test plan must be justified with reference to the application context 
(including, if applicable, an ODD) and to VE1.2-VE1.3.</t>
    </r>
  </si>
  <si>
    <t>The AI system must be tested according
to the test plan with different inputs, conditions,
and environments to ensure its performance
and robustness.</t>
  </si>
  <si>
    <t>No documented tests were performed.</t>
  </si>
  <si>
    <t>For technical details describing 
application areas, see, for example, 
the Fraunhofer AI test catalog, 
e.g., [VE-R-RE-RI-01], [VE-R-RE-KR-02], [VE-R-RO-RI-01], [VE-R-RO-KR-01],
[VE-R-RO-KR-03], and generally the test measures in the chapter on reliability.</t>
  </si>
  <si>
    <r>
      <rPr>
        <b/>
        <sz val="8"/>
        <color rgb="FF000000"/>
        <rFont val="Arial"/>
        <family val="2"/>
        <scheme val="minor"/>
      </rPr>
      <t>Technical measure – tests</t>
    </r>
    <r>
      <rPr>
        <sz val="8"/>
        <color rgb="FF000000"/>
        <rFont val="Arial"/>
        <family val="2"/>
        <scheme val="minor"/>
      </rPr>
      <t xml:space="preserve">
– Formal description of the application scope as input for test methods
(Input space, application area with distribution, application limit, description 
of an ODD if applicable) 
– Execution of the test according to the test plan and documentation of all test results</t>
    </r>
  </si>
  <si>
    <r>
      <rPr>
        <b/>
        <sz val="8"/>
        <color theme="1"/>
        <rFont val="Arial"/>
        <family val="2"/>
        <scheme val="minor"/>
      </rPr>
      <t>Technical measure – tests</t>
    </r>
    <r>
      <rPr>
        <sz val="8"/>
        <color theme="1"/>
        <rFont val="Arial"/>
        <family val="2"/>
        <scheme val="minor"/>
      </rPr>
      <t xml:space="preserve">
– Formal description of the application scope as input for test methods
(Input space, application area with distribution, application boundary, 
description of an ODD if applicable) 
– Following the test plan (see VE1.4), analysis of the coverage of the
application area (or an ODD if applicable) by the available test data 
– Description of the given format, i.e., the inputs, conditions, and environments 
on which performance and robustness are tested directly or indirectly 
– Execution of the test according to the test planand documentation of 
all test results – documentation of weaknesses, including at least: 
a) Any unexpected reduction in the actual performance of the AI system 
due to the system design and in relation to its intended use; 
b) Limits of the input range (In which situations/with which inputs does
the AI system only function to a limited extent or not at all?); 
c) Shortcuts in models (if none were identified, this must be documented).</t>
    </r>
  </si>
  <si>
    <t>Monitoring the performance and robustness
of the AI system must be possible.</t>
  </si>
  <si>
    <t>It must be assessed whether the measures taken 
have reduced the identified risks to an acceptable 
level and whether the quality of the AI system
meets the set targets.</t>
  </si>
  <si>
    <r>
      <rPr>
        <b/>
        <sz val="8"/>
        <color theme="1"/>
        <rFont val="Arial"/>
        <family val="2"/>
        <scheme val="minor"/>
      </rPr>
      <t xml:space="preserve">Evaluation </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</si>
  <si>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theme="1"/>
        <rFont val="Arial"/>
        <family val="2"/>
        <scheme val="minor"/>
      </rPr>
      <t xml:space="preserve">Evaluation </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</si>
  <si>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 xml:space="preserve">Evaluation </t>
    </r>
    <r>
      <rPr>
        <sz val="8"/>
        <color theme="1"/>
        <rFont val="Arial"/>
        <family val="2"/>
        <scheme val="minor"/>
      </rPr>
      <t xml:space="preserve">
– Assessment by a qualified and authorised person as to whether the residual risk 
is tolerable 
– Justification of the tolerability of the residual risk</t>
    </r>
  </si>
  <si>
    <t>Risks for possible consequences of a malfunction 
or failure and for the functional safety of the 
AI system must be analysed taking into account
the intended use.</t>
  </si>
  <si>
    <t>Here, the protection requirements 
analysis can also be referenced. 
However, it should be noted that the 
auditor is not expected to conduct a complete risk analysis, but rather to
assess the existence and scope of 
such an analysis.
Here, it would be possible to refer to common standards, e.g., for functional safety and safety, such as ISO/IEC
Guide 51, and to conduct an FMEA 
(which, if available, should actually
be taken into account here).
More details can be found in Chapter 8 
of the Fraunhofer IAIS AI Testing Catalog.
A classic reference on functional AI 
safety is Amodei 2006.</t>
  </si>
  <si>
    <r>
      <rPr>
        <b/>
        <sz val="8"/>
        <color theme="1"/>
        <rFont val="Arial"/>
        <family val="2"/>
        <scheme val="minor"/>
      </rPr>
      <t>Analysis – Risk</t>
    </r>
    <r>
      <rPr>
        <sz val="8"/>
        <color theme="1"/>
        <rFont val="Arial"/>
        <family val="2"/>
        <scheme val="minor"/>
      </rPr>
      <t xml:space="preserve">
The risk analysis regarding the possible consequences of a (partial) failure
of the AI system, as well as for functional safety, should address hazards and 
harmful effects on the outside world caused by malfunction or failure due to 
insufficient performance or robustness. The risk analysis should include: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Insufficient performance and robustness of the AI components of the AI system 
for the intended use (see VE1) 
– Criticality of the intended use and application area with regard to possible
damage and consequences due to insufficient performance and robustness 
– Possible functional reasons for the failure or partial failure of the AI system
with their probabilities of occurrence 
– Faulty (systematic and random) or abusive use of the AI system outside 
the intended use 
– System components with direct interfaces to the AI system
(e.g., providing input data or using output data of the AI system).
Possible consequences and damage that may arise from accident risks 
should be considered at least for: 
– Life and physical health of people 
– fundamental rights 
– property and things</t>
    </r>
  </si>
  <si>
    <r>
      <rPr>
        <b/>
        <sz val="8"/>
        <color theme="1"/>
        <rFont val="Arial"/>
        <family val="2"/>
        <scheme val="minor"/>
      </rPr>
      <t>Analysis – Risk</t>
    </r>
    <r>
      <rPr>
        <sz val="8"/>
        <color theme="1"/>
        <rFont val="Arial"/>
        <family val="2"/>
        <scheme val="minor"/>
      </rPr>
      <t xml:space="preserve">
The risk analysis regarding the possible consequences of a (partial) failure 
of the AI system, as well as for functional safety, should address hazards and 
harmful effects on the outside world caused by malfunction or failure due to
insufficient performance or robustness. The risk analysis should include: 
Limited risk analysis focusing on protection requirements without quantifying probabilities 
– Identification of potential risks 
– Assignment of risk responsibility 
– Impact assessment 
– Structured grading and prioritisation of risks. At least the following risk sources 
must be considered, taking into account the intended use (see TR1.1): 
– Insufficient performance and robustness of the AI components of the
AI system for the intended use (see VE1) 
– Criticality of the intended use and application area with regard to potential 
damage and consequences due to insufficient performance and robustness 
Possible functional reasons for the failure or partial failure of the AI system 
with their probabilities of occurrence 
– Faulty (systematic and random) or abusive use of the AI system outside its
intended use 
– System components with direct interfaces to the AI system 
(e.g., providing input data or using output data from the AI system).
Potential consequences and damage that may arise from accident risks 
should be considered at least for: 
– Human life and limb and physical health 
– Fundamental rights 
– property and things</t>
    </r>
  </si>
  <si>
    <r>
      <rPr>
        <b/>
        <sz val="8"/>
        <color theme="1"/>
        <rFont val="Arial"/>
        <family val="2"/>
        <scheme val="minor"/>
      </rPr>
      <t>Analysis – Risk</t>
    </r>
    <r>
      <rPr>
        <sz val="8"/>
        <color theme="1"/>
        <rFont val="Arial"/>
        <family val="2"/>
        <scheme val="minor"/>
      </rPr>
      <t xml:space="preserve">
The risk analysis regarding the possible consequences of a (partial) failure 
of the AI system, as well as for functional safety, should address hazards and 
harmful effects on the outside world caused by malfunction or failure due to 
insufficient performance or robustness. The risk analysis should include:
Primarily a qualitative assessment without probabilities 
– Identification of potential hazards 
– Assignment of risk responsibility 
– Qualitative assessment of the impact 
– Qualitative grading and prioritisation of hazards.
At least the following risk sources must be considered, taking into account
the intended use (see TR1.1): 
– Insufficient performance and robustness of the AI components of the AI system
for the intended use (see VE1) 
– Criticality of the intended use and application area with regard to potential
damage and consequences due to insufficient performance and robustness 
– Possible functional reasons for the failure or partial failure of the AI system 
with their probabilities of occurrence 
– Faulty (systematic and random) or abusive use of the AI system outside 
the intended use 
– System components with direct interfaces to the AI system 
(e.g., providing input data or using output data of the AI system).
Potential consequences and damage that may arise from accident risks
should at least be considered for: 
– Life and limb and physical health of people 
– Fundamental rights 
– Property and Things</t>
    </r>
  </si>
  <si>
    <t>Suitable technical measures must be defined 
in the operation of the AI system to mitigate the 
risk of malfunction or failure of the AI system.</t>
  </si>
  <si>
    <t>No measures were taken to mitigate 
the risk of malfunctions and failures 
during operation.</t>
  </si>
  <si>
    <r>
      <rPr>
        <b/>
        <sz val="8"/>
        <color rgb="FF000000"/>
        <rFont val="Arial"/>
        <family val="2"/>
        <scheme val="minor"/>
      </rPr>
      <t>Technical measure – Operation</t>
    </r>
    <r>
      <rPr>
        <sz val="8"/>
        <color rgb="FF000000"/>
        <rFont val="Arial"/>
        <family val="2"/>
        <scheme val="minor"/>
      </rPr>
      <t xml:space="preserve">
– Mechanisms for safe failure should be planned and, if possible, 
already implemented (e.g., tamper protection, safe mode).</t>
    </r>
  </si>
  <si>
    <r>
      <rPr>
        <b/>
        <sz val="8"/>
        <color rgb="FF000000"/>
        <rFont val="Arial"/>
        <family val="2"/>
        <scheme val="minor"/>
      </rPr>
      <t xml:space="preserve">Technical measure – Operation </t>
    </r>
    <r>
      <rPr>
        <sz val="8"/>
        <color rgb="FF000000"/>
        <rFont val="Arial"/>
        <family val="2"/>
        <scheme val="minor"/>
      </rPr>
      <t xml:space="preserve">
– Systemic redundancy and fallback mechanisms should be provided in the 
AI system for operation (e.g., switching to a safe mode, emergency stop switch). 
– Safe failure mechanisms should be planned and, if possible, already implemented (e.g., tamper protection, safe mode). 
– Interfaces between the monitoring system provided for in VE1.6 and the fallback 
and failure systems should be ensured in order to connect the monitoring of 
AI components with that of a larger IT system; see also TR1.7.</t>
    </r>
  </si>
  <si>
    <r>
      <rPr>
        <b/>
        <sz val="8"/>
        <color rgb="FF000000"/>
        <rFont val="Arial"/>
        <family val="2"/>
        <scheme val="minor"/>
      </rPr>
      <t xml:space="preserve">Technical measure – Operation </t>
    </r>
    <r>
      <rPr>
        <sz val="8"/>
        <color rgb="FF000000"/>
        <rFont val="Arial"/>
        <family val="2"/>
        <scheme val="minor"/>
      </rPr>
      <t xml:space="preserve">
– Systemic redundancy and fallback mechanisms should be provided in the
AI system for operation (e.g., switching to a safe mode, emergency stop switch). 
– Safe failure mechanisms should be planned and, if possible, already implemented (e.g., tamper protection, safe mode). 
– Interfaces between the monitoring system provided for in VE1.6 and the fallback 
and failure systems should be ensured to enable the monitoring of AI components 
to be linked to that of a larger IT system. 
– Interfaces for an alarm system should be planned 
(end users, providers, responsible authorities). 
– Fail-safe logging of a product in operation must be supported by the AI system 
(e.g., black box), see also TR1.7. 
– Intervention measures ("incident response") for troubleshooting and system 
recovery from operation should be possible.</t>
    </r>
  </si>
  <si>
    <t>Suitable technical measures in the form of metrics 
and tests must be defined to mitigate the risk of malfunction or failure of the AI system.</t>
  </si>
  <si>
    <t>Distinction between basic and 
advanced methods:
– The test methods collection lists 
several common methods and categorizes them as basic and advanced.
– Self-developed test methods are recognized as advanced methods.
The selected metrics and tests should 
allow for a high degree of automation
where possible.</t>
  </si>
  <si>
    <t>No technical methods or metrics
were implemented to mitigate the 
risk of malfunctions and failures.</t>
  </si>
  <si>
    <t>Suitable organisational measures must be defined 
to mitigate the risk of malfunction or failure of the 
AI system.</t>
  </si>
  <si>
    <t>No organisational methods were provided to mitigate the risk of malfunctions and failures.</t>
  </si>
  <si>
    <r>
      <rPr>
        <b/>
        <sz val="8"/>
        <color rgb="FF000000"/>
        <rFont val="Arial"/>
        <family val="2"/>
        <scheme val="minor"/>
      </rPr>
      <t>Organisational measures – Governance</t>
    </r>
    <r>
      <rPr>
        <sz val="8"/>
        <color rgb="FF000000"/>
        <rFont val="Arial"/>
        <family val="2"/>
        <scheme val="minor"/>
      </rPr>
      <t xml:space="preserve">
– Planning of, or ,where possible, integration oforganisational or technical measures
to mitigate errors in a management system, particularly with regard to human-caused systematic errors and faulty actions during the life cycle Planning measures to 
mitigate the second-order impact on stakeholders, including communication. 
– Establishing an incident response channel for future customers through which 
further mitigation measures can be taken immediately (without undue delay). 
– The mitigation measures should be part of a defined strategy that can be 
integrated into an ongoing governance system for managing security risks.</t>
    </r>
  </si>
  <si>
    <r>
      <rPr>
        <b/>
        <sz val="8"/>
        <color rgb="FF000000"/>
        <rFont val="Arial"/>
        <family val="2"/>
        <scheme val="minor"/>
      </rPr>
      <t>Organisational measures – Governance</t>
    </r>
    <r>
      <rPr>
        <sz val="8"/>
        <color rgb="FF000000"/>
        <rFont val="Arial"/>
        <family val="2"/>
        <scheme val="minor"/>
      </rPr>
      <t xml:space="preserve">
– Planning of organisational or technical measures to mitigate random errors 
in a management system, particularly with regard to human-caused systematic 
errors and faulty actions during the life cycle</t>
    </r>
  </si>
  <si>
    <t>Within the framework of the intended functionality 
and taking into account the scope of application, the defined measures must be tested before operation.</t>
  </si>
  <si>
    <t>No tests of the technical measures
were carried out.</t>
  </si>
  <si>
    <t>Measures and security controls must be in place
to prevent misuse or abuse of the AI system.</t>
  </si>
  <si>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</si>
  <si>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</si>
  <si>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</si>
  <si>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</si>
  <si>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t>Fallback plans and functional safety</t>
  </si>
  <si>
    <t>AI-specific cybersecurity</t>
  </si>
  <si>
    <t>General AI-specific cybersecurity</t>
  </si>
  <si>
    <t>Resilience against AI-specific attacks</t>
  </si>
  <si>
    <r>
      <rPr>
        <b/>
        <sz val="8"/>
        <color rgb="FF000000"/>
        <rFont val="Arial"/>
        <family val="2"/>
        <scheme val="minor"/>
      </rPr>
      <t>Analysis – Risk</t>
    </r>
    <r>
      <rPr>
        <sz val="8"/>
        <color rgb="FF000000"/>
        <rFont val="Arial"/>
        <family val="2"/>
        <scheme val="minor"/>
      </rPr>
      <t xml:space="preserve">
Primarily qualitative assessment without probabilities
– Identification of potential risks
–Allocation of risk responsibility
– Qualitative estimation of impact
– Qualitative grading and prioritisation of risks.
The risk assessment should, taking into account the intended use and scope
(see TR1.1), consider at least the following:
– All classic cybersecurity protection goals, i.e., confidentiality 
(e.g., protection of personal training data from malicious disclosure or misuse), 
integrity (e.g., protection of the AI system from malicious manipulation of the output
to the attacker's advantage), and availability (e.g., protection of the AI system from maliciously caused overload)
– Threat modeling to determine probabilities of occurrence
– Vulnerability analysis to determine probabilities of occurrence
– Analysis of the system assets to be protected to determine the impact.
The risk assessment framework should ideally be embeddable in a cybersecurity management system and should ideally follow established standards.</t>
    </r>
  </si>
  <si>
    <t>Integration into a CSMS
was in no way planned 
or facilitated.</t>
  </si>
  <si>
    <r>
      <rPr>
        <b/>
        <sz val="8"/>
        <color theme="1"/>
        <rFont val="Arial"/>
        <family val="2"/>
        <scheme val="minor"/>
      </rPr>
      <t>Organisational measures – Governance &amp; Technical measures – Operations</t>
    </r>
    <r>
      <rPr>
        <sz val="8"/>
        <color theme="1"/>
        <rFont val="Arial"/>
        <family val="2"/>
        <scheme val="minor"/>
      </rPr>
      <t xml:space="preserve">
(Connection to cybersecurity management system)
– As much information as possible on AI-specific cybersecurity should be provided
in order to embed the AI system in larger system contexts, in particular the docu-mentation of vulnerabilities, assets, risk analysis and the results of all mitigation measures.</t>
    </r>
  </si>
  <si>
    <t>Measures must be in place 
to control the cybersecurity aspects of AI supply chain management, particularly 
with regard to vulnerabilities 
or harmful practices in the use 
of pre-trained models, open-source machine learning 
libraries, and third-party 
training data.</t>
  </si>
  <si>
    <r>
      <rPr>
        <b/>
        <sz val="8"/>
        <color theme="1"/>
        <rFont val="Arial"/>
        <family val="2"/>
        <scheme val="minor"/>
      </rPr>
      <t>Organisational measures – System-related processes</t>
    </r>
    <r>
      <rPr>
        <sz val="8"/>
        <color theme="1"/>
        <rFont val="Arial"/>
        <family val="2"/>
        <scheme val="minor"/>
      </rPr>
      <t xml:space="preserve">
– A process should be in place for analyzing the cybersecurity of the software and hardware supply chains with regard to the development and production environment 
of the AI system.
– The supply chain analysis includes pre-trained models, datasets, and software
libraries used, as well as the hardware used for the training and, if applicable, production phases of the AI system.
– A process should be in place for the continuous monitoring of the supply chain, including a plan for updates and reviews following the discovery of previously undiscovered vulnerabilities in the supply chain.
</t>
    </r>
    <r>
      <rPr>
        <b/>
        <sz val="8"/>
        <color theme="1"/>
        <rFont val="Arial"/>
        <family val="2"/>
        <scheme val="minor"/>
      </rPr>
      <t xml:space="preserve">Technical measures – models, data </t>
    </r>
    <r>
      <rPr>
        <sz val="8"/>
        <color theme="1"/>
        <rFont val="Arial"/>
        <family val="2"/>
        <scheme val="minor"/>
      </rPr>
      <t xml:space="preserve">
– A security audit of all identified, used pre-trained models, datasets, and software libraries from the supply chain must be demonstrated.
</t>
    </r>
    <r>
      <rPr>
        <b/>
        <sz val="8"/>
        <color theme="1"/>
        <rFont val="Arial"/>
        <family val="2"/>
        <scheme val="minor"/>
      </rPr>
      <t>Technical measures – Operation</t>
    </r>
    <r>
      <rPr>
        <sz val="8"/>
        <color theme="1"/>
        <rFont val="Arial"/>
        <family val="2"/>
        <scheme val="minor"/>
      </rPr>
      <t xml:space="preserve">
– Interfaces should be available that allow for the technical monitoring of the 
AI system's software and hardware, including vulnerabilities, through cybersecurity monitoring.</t>
    </r>
  </si>
  <si>
    <r>
      <rPr>
        <b/>
        <sz val="8"/>
        <color theme="1"/>
        <rFont val="Arial"/>
        <family val="2"/>
        <scheme val="minor"/>
      </rPr>
      <t>Organisational measures – System-related processes</t>
    </r>
    <r>
      <rPr>
        <sz val="8"/>
        <color theme="1"/>
        <rFont val="Arial"/>
        <family val="2"/>
        <scheme val="minor"/>
      </rPr>
      <t xml:space="preserve">
– A process should be in place for analyzing the cybersecurity of the software and hardware supply chains with regard to the development and production environment 
of the AI system.
– The supply chain analysis includes pre-trained models, datasets, and software 
libraries used, as well as the hardware used for the training and, if applicable, production phases of the AI system.
– A process should be in place for the continuous monitoring of the supply chain, including a plan for updates and reviews following the discovery of previously undiscovered vulnerabilities in the supply chain.</t>
    </r>
  </si>
  <si>
    <t>No measures were taken
to control the cybersecurity aspects of AI supply chain management.</t>
  </si>
  <si>
    <t>Measures and security 
controls must be in place
to prevent misuse and abuse 
of the AI system.</t>
  </si>
  <si>
    <t>There are no measures
in place to prevent misuse and abuse of the AI system.</t>
  </si>
  <si>
    <r>
      <rPr>
        <b/>
        <sz val="8"/>
        <color rgb="FF000000"/>
        <rFont val="Arial"/>
        <family val="2"/>
        <scheme val="minor"/>
      </rPr>
      <t>Organisational measures – System-related processes</t>
    </r>
    <r>
      <rPr>
        <sz val="8"/>
        <color rgb="FF000000"/>
        <rFont val="Arial"/>
        <family val="2"/>
        <scheme val="minor"/>
      </rPr>
      <t xml:space="preserve">
– Processes must be in place to address potential intentional misuse of the 
AI system during operation, including the integration of possible shutdown 
mechanisms.
– Processes should be in place to address any misuse detected through monitoring systems and logging.
– Processes should specifically ensure that, in addition to the functionality, integrity, 
and availability of the AI system, the objectives defined under the various quality dimensions are also protected in the event of misuse or abuse. This includes safeguarding the protection of personal or proprietary data, protection against 
non-discrimination, the degree of autonomy, and the associated human control mechanisms.
</t>
    </r>
    <r>
      <rPr>
        <b/>
        <sz val="8"/>
        <color rgb="FF000000"/>
        <rFont val="Arial"/>
        <family val="2"/>
        <scheme val="minor"/>
      </rPr>
      <t>Technical measures – Operation</t>
    </r>
    <r>
      <rPr>
        <sz val="8"/>
        <color rgb="FF000000"/>
        <rFont val="Arial"/>
        <family val="2"/>
        <scheme val="minor"/>
      </rPr>
      <t xml:space="preserve">
Provision must be made to record inference inputs, queries and prompts as part 
of monitoring and logging in order to enable investigation in the event of misuse, compromise or abuse.</t>
    </r>
  </si>
  <si>
    <r>
      <rPr>
        <b/>
        <sz val="8"/>
        <color rgb="FF000000"/>
        <rFont val="Arial"/>
        <family val="2"/>
        <scheme val="minor"/>
      </rPr>
      <t>Organisational measures – System-related processes</t>
    </r>
    <r>
      <rPr>
        <sz val="8"/>
        <color rgb="FF000000"/>
        <rFont val="Arial"/>
        <family val="2"/>
        <scheme val="minor"/>
      </rPr>
      <t xml:space="preserve">
Processes must be in place to address potential intentional misuse of the 
AI system during operation, including the integration of possible shutdown 
mechanisms.
– Processes should be in place to address any misuse detected through monitoring systems and logging.
– Processes should specifically ensure that, in addition to the functionality, integrity, 
and availability of the AI system, the objectives defined under the various quality dimensions are also protected in the event of misuse or abuse. This includes safeguarding the protection of personal or proprietary data, protection against 
non-discrimination, the degree of autonomy, and the associated human control mechanisms.</t>
    </r>
  </si>
  <si>
    <t>Measures and security 
controls must be in place to regulate access to training, 
testing, validation, and all 
other AI-specific data.</t>
  </si>
  <si>
    <t>No measures were taken
or security controls introduced to regulate access to AI-specific data.</t>
  </si>
  <si>
    <r>
      <rPr>
        <b/>
        <sz val="8"/>
        <color rgb="FF000000"/>
        <rFont val="Arial"/>
        <family val="2"/>
        <scheme val="minor"/>
      </rPr>
      <t>Organisational measure – Governance</t>
    </r>
    <r>
      <rPr>
        <sz val="8"/>
        <color rgb="FF000000"/>
        <rFont val="Arial"/>
        <family val="2"/>
        <scheme val="minor"/>
      </rPr>
      <t xml:space="preserve">
Individual access rights to the data must be defined and documented and consistent
with the purpose of the AI system (see also CY1.2). Appropriate access management should include at least the following:
a) Granting and modifying (provisioning) access rights based on the principle of least privilege and the need-to-know principle;
b) Separation of duties; 
c) Denying access to data to unauthorised individuals; 
d) Regularly reviewing granted permissions; 
e) Revoking permissions in the event of changes in the employee's employment 
status or role; 
f) In the case of personal data, ensuring data subjects have the opportunity 
to access their data (see also MA1.3); 
g) Data documentation should include details on access management (see DA1.1).
</t>
    </r>
    <r>
      <rPr>
        <b/>
        <sz val="8"/>
        <color rgb="FF000000"/>
        <rFont val="Arial"/>
        <family val="2"/>
        <scheme val="minor"/>
      </rPr>
      <t xml:space="preserve">
Technical measure – data
</t>
    </r>
    <r>
      <rPr>
        <sz val="8"/>
        <color rgb="FF000000"/>
        <rFont val="Arial"/>
        <family val="2"/>
        <scheme val="minor"/>
      </rPr>
      <t>– Technical measures such as an access management system must be defined 
and in place to prevent unauthorised access to personal and proprietary training,
testing, validation, and other AI-specific data.
– The transmission of personal or proprietary data between parties or to a cloud 
must be secured, at least by:
a) using and documenting encryption methods for transmission (data in transit);
b) implementing technical safeguards for communication security.</t>
    </r>
  </si>
  <si>
    <r>
      <rPr>
        <b/>
        <sz val="8"/>
        <color rgb="FF000000"/>
        <rFont val="Arial"/>
        <family val="2"/>
        <scheme val="minor"/>
      </rPr>
      <t>Organisational measure – Governance</t>
    </r>
    <r>
      <rPr>
        <sz val="8"/>
        <color rgb="FF000000"/>
        <rFont val="Arial"/>
        <family val="2"/>
        <scheme val="minor"/>
      </rPr>
      <t xml:space="preserve">
Individual access rights to the data must be defined and documented and consistent
with the purpose of the AI system (see also CY1.2). Appropriate access management should include at least the following: 
a) Granting and modifying (provisioning) access rights based on the principle of least privilege and the need-to-know principle; 
b) Separation of duties; 
c) Denying access to data to unauthorised individuals; 
d) Regularly reviewing granted permissions; 
e) Revoking permissions in the event of changes in the employee's employment 
status or role; 
f) In the case of personal data, ensuring data subjects have the opportunity
to access their data (see also MA1.3); 
g) Data documentation should include details on access management (see DA1.1).
</t>
    </r>
    <r>
      <rPr>
        <b/>
        <sz val="8"/>
        <color rgb="FF000000"/>
        <rFont val="Arial"/>
        <family val="2"/>
        <scheme val="minor"/>
      </rPr>
      <t>Technical measure – data</t>
    </r>
    <r>
      <rPr>
        <sz val="8"/>
        <color rgb="FF000000"/>
        <rFont val="Arial"/>
        <family val="2"/>
        <scheme val="minor"/>
      </rPr>
      <t xml:space="preserve">
Technical measures such as an access management system must be defined and
in place to prevent unauthorised access to personal and proprietary training, testing, validation, and other AI-specific data.
– The transmission of personal or proprietary data between parties or to a cloud
must be secured, at least by:
a) using and documenting encryption methods for transmission (data in transit);
b) implementing technical safeguards for communication security.
</t>
    </r>
    <r>
      <rPr>
        <b/>
        <sz val="8"/>
        <color rgb="FF000000"/>
        <rFont val="Arial"/>
        <family val="2"/>
        <scheme val="minor"/>
      </rPr>
      <t>Technical measure – Operation</t>
    </r>
    <r>
      <rPr>
        <sz val="8"/>
        <color rgb="FF000000"/>
        <rFont val="Arial"/>
        <family val="2"/>
        <scheme val="minor"/>
      </rPr>
      <t xml:space="preserve">
– Technical measures must be defined and implemented to prevent unauthorised
access to personal and proprietary training, testing, validation, and other AI-specific data during the operation of the AI system, including input and output data of the
AI system.</t>
    </r>
  </si>
  <si>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</si>
  <si>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</si>
  <si>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t>Risks to the cybersecurity 
of the AI system from AI-specific attacks must be analysed taking into account the intended use.</t>
  </si>
  <si>
    <t>Measures and security 
controls must be in place to mitigate AI-specific attacks 
that may occur during operation.</t>
  </si>
  <si>
    <t>No measures were taken
to mitigate AI-specific attacks during operation.</t>
  </si>
  <si>
    <t>Model-level security controls and measures can include, for example, measures in the model architecture 
such as model hardening through distillation, training measures such
as adversarial training, or uncertainty methods for detecting adversarial inputs. System-level security controls can in-clude, for example, access manage-
ment, usage restrictions on the number 
of system calls, out-of-distribution detection, and prompt filtering. 
For details on the taxonomy of different attack types and mitigations, see, for example, MITRE ATLAS or NIST AI 100-2 E2023 on "Adversarial Machine Learning: A Taxonomy and Terminology of Attacks and Mitigations."</t>
  </si>
  <si>
    <t>Measures and security
controls must be in place to mitigate AI-specific attacks
that occur during the prepa-
ration and model training 
phase of the AI models.</t>
  </si>
  <si>
    <t>No measures were taken
to mitigate AI-specific 
attacks during the preparation and model training phase.</t>
  </si>
  <si>
    <t>Model-level/data-level security controls 
can include, for example, mitigations 
such as filtering for data poisoning or 
model backdoor detection systems. 
System-level security controls can 
include, for example, access manage-
ment, data security management, and 
out-of-distribution detection. For details 
on the taxonomy of different attack types and mitigations, see, for example, MITRE ATLAS or NIST AI 100-2 E2023 on "Adversarial Machine Learning: A Taxo-
nomy and Terminology of Attacks and Mitigations."</t>
  </si>
  <si>
    <t>It must be assessed whether
the measures taken have
reduced the identified risks 
to an acceptable level and 
whether the quality of the AI system meets the set targets.</t>
  </si>
  <si>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</si>
  <si>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</si>
  <si>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t>It must be assessed whether the measures taken
have reduced the identified risks to an acceptable
level and whether the quality of the AI system 
meets the set targets.</t>
  </si>
  <si>
    <r>
      <rPr>
        <b/>
        <sz val="8"/>
        <color rgb="FF000000"/>
        <rFont val="Arial"/>
        <family val="2"/>
        <scheme val="minor"/>
      </rPr>
      <t>Technical measures – data</t>
    </r>
    <r>
      <rPr>
        <sz val="8"/>
        <color rgb="FF000000"/>
        <rFont val="Arial"/>
        <family val="2"/>
        <scheme val="minor"/>
      </rPr>
      <t xml:space="preserve">
The data quality characteristics defined in DA 1.2 must be tested and
evaluated, taking into account the scope and intended use. This includes:
– Tests and metrics to demonstrate the data quality characteristics 
– At a minimum, completeness, timeliness, and correctness must 
be considered.
The selected metrics and tests should ideally have the following characteristics:
– If justified by the selection, the metrics and tests should include both important 
basic methods and, where possible, advanced methods (in terms of complexity, information content, implementation effort, e.g., comprehensive testing tools) 
– The selected metrics and tests should, where possible, allow for continuous 
evaluation of the AI models through a high degree of automation – Definition of thresholds (as minimum requirements for functionality/performance) and
justification of the thresholds, taking into account the scope and intended use –
If applicable: Differentiation of the metrics and thresholds according to different 
use cases, with reference to the definition of the scope.</t>
    </r>
  </si>
  <si>
    <r>
      <rPr>
        <b/>
        <sz val="8"/>
        <color rgb="FF000000"/>
        <rFont val="Arial"/>
        <family val="2"/>
        <scheme val="minor"/>
      </rPr>
      <t>Technical measures – data</t>
    </r>
    <r>
      <rPr>
        <sz val="8"/>
        <color rgb="FF000000"/>
        <rFont val="Arial"/>
        <family val="2"/>
        <scheme val="minor"/>
      </rPr>
      <t xml:space="preserve">
The data quality characteristics defined in DA 1.2 must be tested and 
evaluated, taking into account the scope and intended use. This includes: 
– Tests and metrics to demonstrate the data quality characteristics 
– At a minimum, completeness and correctness must be considered.
The selected metrics and tests should ideally have the following characteristics: 
– If justified by the selection, the metrics and tests should include both important 
basic methods and, where possible, advanced methods (in terms of complexity, information content, implementation effort, e.g., comprehensive testing tools) 
– Definition of thresholds (as minimum requirements for functionality/
performance) and justification of the thresholds, taking into account the 
scope and intended use.</t>
    </r>
  </si>
  <si>
    <r>
      <rPr>
        <b/>
        <sz val="8"/>
        <color theme="1"/>
        <rFont val="Arial"/>
        <family val="2"/>
        <scheme val="minor"/>
      </rPr>
      <t>Technical measures – model, data &amp; tests</t>
    </r>
    <r>
      <rPr>
        <sz val="8"/>
        <color theme="1"/>
        <rFont val="Arial"/>
        <family val="2"/>
        <scheme val="minor"/>
      </rPr>
      <t xml:space="preserve">
The AI system and its models and data were examined with regard 
to the objective defined in ND1.2. This includes at least:
– Justification of the model selection (including the task definition and 
optimisation strategy, as well as any pre- or post-processing measures 
in the AI system to mitigate biases)
– Description of the scope and execution of the tests (see ND1.2)
– Comparison with alternative tests/metrics
– Evaluation of compliance with predefined thresholds or target values
– Documentation of the test results and conclusions drawn from them
– Description of the limitations of the validity of the tests performed and
their results
– Collaboration with relevant groups with protected attributes</t>
    </r>
  </si>
  <si>
    <r>
      <rPr>
        <b/>
        <sz val="8"/>
        <color theme="1"/>
        <rFont val="Arial"/>
        <family val="2"/>
        <scheme val="minor"/>
      </rPr>
      <t xml:space="preserve">Technical measure – Operation
</t>
    </r>
    <r>
      <rPr>
        <sz val="8"/>
        <color theme="1"/>
        <rFont val="Arial"/>
        <family val="2"/>
        <scheme val="minor"/>
      </rPr>
      <t>Where the AI system interacts with individuals, accessibility for people 
with disabilities is assessed and supported through appropriate measures. 
These measures include:
– Designing the AI system's user interface to be accessible to people with 
disabilities (e.g., red-green color blindness or motor impairments)
– Providing information about results and mechanisms, including information
presented through the user interface, in a way that is tailored to the target 
audience and takes into account any potential limitations of the recipients
– Designing the user interface and providing information is based on
collaboration with user groups that include people with disabilities</t>
    </r>
  </si>
  <si>
    <r>
      <rPr>
        <b/>
        <sz val="8"/>
        <color theme="1"/>
        <rFont val="Arial"/>
        <family val="2"/>
        <scheme val="minor"/>
      </rPr>
      <t>Technical measure – Operation</t>
    </r>
    <r>
      <rPr>
        <sz val="8"/>
        <color theme="1"/>
        <rFont val="Arial"/>
        <family val="2"/>
        <scheme val="minor"/>
      </rPr>
      <t xml:space="preserve">
Continuous monitoring must be provided for during the implementation
of the AI system and be implemented based on appropriate logging (see TR1.7).
This includes testing the following options:
– Performance monitoring, including monitoring of the models and data 
(i.e., incoming production data and, if applicable, the expanding training database)
– Bias monitoring, including monitoring of the data (i.e., incoming production data
and, if applicable, the expanding training database) in the context of preventing
unfair discrimination and biases
– Conducting tests (e.g., sanity checks) used within the monitoring framework 
to detect model and concept drift or harmful input data
– If applicable, conducting tests to detect misuse and harmful input data
– If applicable, quality control of the expanding training database
</t>
    </r>
    <r>
      <rPr>
        <b/>
        <sz val="8"/>
        <color theme="1"/>
        <rFont val="Arial"/>
        <family val="2"/>
        <scheme val="minor"/>
      </rPr>
      <t xml:space="preserve">Organisational measure – System-related processes
</t>
    </r>
    <r>
      <rPr>
        <sz val="8"/>
        <color theme="1"/>
        <rFont val="Arial"/>
        <family val="2"/>
        <scheme val="minor"/>
      </rPr>
      <t>In addition to the technical implementation of monitoring, the following
aspects should be prepared:
– A concept for the (automatic) monitoring and testing of major changes 
to the AI system, including software and hardware components, but especially
in the case of online learning
– Recommended tests must be documented as part of a continuous testing plan, particularly in the case of online learning
– Where possible, mechanisms in the form of meaningful threshold definitions or scenarios in which (human) review and mitigation measures should be implemented
– Mechanisms for sharing new information about potential security-related incidents
and their prevention</t>
    </r>
  </si>
  <si>
    <r>
      <rPr>
        <b/>
        <sz val="8"/>
        <color rgb="FF000000"/>
        <rFont val="Arial"/>
        <family val="2"/>
        <scheme val="minor"/>
      </rPr>
      <t>Organisational measure – Governance</t>
    </r>
    <r>
      <rPr>
        <sz val="8"/>
        <color rgb="FF000000"/>
        <rFont val="Arial"/>
        <family val="2"/>
        <scheme val="minor"/>
      </rPr>
      <t xml:space="preserve">
– Individual access rights to the data must be defined and documented and 
must be consistent with the purpose of the AI system (see also CY1.2)
</t>
    </r>
    <r>
      <rPr>
        <b/>
        <sz val="8"/>
        <color rgb="FF000000"/>
        <rFont val="Arial"/>
        <family val="2"/>
        <scheme val="minor"/>
      </rPr>
      <t xml:space="preserve">
Technical measure – data
</t>
    </r>
    <r>
      <rPr>
        <sz val="8"/>
        <color rgb="FF000000"/>
        <rFont val="Arial"/>
        <family val="2"/>
        <scheme val="minor"/>
      </rPr>
      <t>– Technical measures such as an access management system must be defined
and in place to prevent unauthorised access to personal and proprietary training, 
testing, validation, and other AI-specific data.
– The transmission of personal or proprietary data between parties or to a cloud 
must be secured, at least by:
a) using and documenting encryption methods for transmission (data in transit);
b) implementing technical safeguards for communication security.</t>
    </r>
  </si>
  <si>
    <t>They must have the opportunity to learn about 
the application of the AI system, how the AI system supports a decision, and the interpretation of its 
outputs.</t>
  </si>
  <si>
    <t>Suitable metrics and tests must be defined
to assess whether the performance of the 
AI system achieves its intended functionality.</t>
  </si>
  <si>
    <t>TR1.1 (purpose)</t>
  </si>
  <si>
    <t>CY1.5 (data access),
CY2.3, 
CY2.2 (AI-specific mitigation measures)</t>
  </si>
  <si>
    <t>VE2.5 (same indicator)</t>
  </si>
  <si>
    <t>CY1.2 (CSMS), 
CY2.3 (attacks on training phase) DA2.1, DA2.2, DA3.2, MA1.3</t>
  </si>
  <si>
    <t>CY1.1 (risk), 
CY1.2 (CSMS), MA2.3 (monitoring), VE1.3 
(tests and measures for general robustness), VE2.2 (measures to mitigate system errors and failures), TR1.4, TR1.3</t>
  </si>
  <si>
    <t>CY1.1 (risk), 
DA1.1 (risk), 
CY1.2 (CSMS), 
CY1.8 (data access), 
VE1.3 (tests and measures for general robustness), 
VE2.2 (measures to mitigate system errors and failures), 
TR1.4, TR1.3</t>
  </si>
  <si>
    <t>MA2.3 (monitoring), TR1.7(logging), 
CY2.2, CY2.3 
(measures to mitigate 
attacks on the system)</t>
  </si>
  <si>
    <t>TR1.6 (development process documentation)</t>
  </si>
  <si>
    <t>TR1.3, TR1.4, 
CY2.2, 
CY2.3 (tests and 
mitigations of robustness against attacks)</t>
  </si>
  <si>
    <t>VE1.7, CY1.5 (attacks during the operational phase), DA1.4</t>
  </si>
  <si>
    <t>relevant worldwide; 
especially TR1.2, 
TR2.1, VE1.1, VE2.1, 
CY1.1, DA2.1, DA3.1, 
ND1.1, MA1.2, MA2.2</t>
  </si>
  <si>
    <t>Human oversight and control</t>
  </si>
  <si>
    <t>Human oversight</t>
  </si>
  <si>
    <t>There are no materials available 
to prepare those responsible for the
operation and oversight of the AI system.</t>
  </si>
  <si>
    <r>
      <t xml:space="preserve">Analysis – Definition
</t>
    </r>
    <r>
      <rPr>
        <sz val="8"/>
        <color rgb="FF000000"/>
        <rFont val="Arial"/>
        <family val="2"/>
        <scheme val="minor"/>
      </rPr>
      <t>Data composition
– number of data instances / data size
– standards for data structures/formats
Data collection process
– data collection method
– data source
Data processing steps
– explanation of the features and their possible quality dimensions 
and areas of the quality dimensions
– Labeling
– Cleaning
Data maintenance
– Storage periods
– Data updates</t>
    </r>
  </si>
  <si>
    <r>
      <t xml:space="preserve">Analysis – Definition
</t>
    </r>
    <r>
      <rPr>
        <sz val="8"/>
        <color rgb="FF000000"/>
        <rFont val="Arial"/>
        <family val="2"/>
        <scheme val="minor"/>
      </rPr>
      <t>Data composition
– number of data instances / data size
– standards for data structures/formats
Data collection process
– Source of data
Data processing steps
– Explanation of the features and their possible quality dimensions
and areas of the quality dimension
Data maintenance
– Storage periods
– Updating the data</t>
    </r>
  </si>
  <si>
    <r>
      <rPr>
        <b/>
        <sz val="8"/>
        <color rgb="FF000000"/>
        <rFont val="Arial"/>
        <family val="2"/>
        <scheme val="minor"/>
      </rPr>
      <t>Organisational measures – Governance / System-related processes</t>
    </r>
    <r>
      <rPr>
        <sz val="8"/>
        <color rgb="FF000000"/>
        <rFont val="Arial"/>
        <family val="2"/>
        <scheme val="minor"/>
      </rPr>
      <t xml:space="preserve">
– Implementation of strict access controls and authorisation management 
to ensure that only authorised persons have access to personal data.
– Implementation of retention period management mechanisms to securely delete 
data after the specified periods have expired.
– Ensuring that clear contractual agreements exist when data is transferred 
to third parties.
– Implementation of clear consent processes and transparent information methods
for data subjects.
– Implementation of an emergency plan for the detection, reporting, and remediation
of data breaches within the legally required timeframe.
– Ensuring that appropriate safeguards (e.g., standard contractual clauses) 
are implemented when transferring personal data to third countries.
</t>
    </r>
    <r>
      <rPr>
        <b/>
        <sz val="8"/>
        <color rgb="FF000000"/>
        <rFont val="Arial"/>
        <family val="2"/>
        <scheme val="minor"/>
      </rPr>
      <t>Technical measures – data</t>
    </r>
    <r>
      <rPr>
        <sz val="8"/>
        <color rgb="FF000000"/>
        <rFont val="Arial"/>
        <family val="2"/>
        <scheme val="minor"/>
      </rPr>
      <t xml:space="preserve">
– Ensuring that data protection measures are already integrated into the 
development and implementation of the systems ("data protection by design") 
– Use of encryption techniques to protect stored data 
– Use of anonymisation, pseudonymisation and other technologies such as 
differential privacy to prevent information from being classified as personal data, 
with justification for the necessity and effectiveness of the measures
</t>
    </r>
    <r>
      <rPr>
        <b/>
        <sz val="8"/>
        <color rgb="FF000000"/>
        <rFont val="Arial"/>
        <family val="2"/>
        <scheme val="minor"/>
      </rPr>
      <t>Technical measures – Operation</t>
    </r>
    <r>
      <rPr>
        <sz val="8"/>
        <color rgb="FF000000"/>
        <rFont val="Arial"/>
        <family val="2"/>
        <scheme val="minor"/>
      </rPr>
      <t xml:space="preserve">
– Regular reviews and audits of data processing processes and practices 
to ensure that data protection requirements are met in accordance with
the intended use.</t>
    </r>
  </si>
  <si>
    <r>
      <rPr>
        <b/>
        <sz val="8"/>
        <color rgb="FF000000"/>
        <rFont val="Arial"/>
        <family val="2"/>
        <scheme val="minor"/>
      </rPr>
      <t>Organisational measures – Governance / System-related processes</t>
    </r>
    <r>
      <rPr>
        <sz val="8"/>
        <color rgb="FF000000"/>
        <rFont val="Arial"/>
        <family val="2"/>
        <scheme val="minor"/>
      </rPr>
      <t xml:space="preserve">
– Implementation of strict access controls and authorisation management
to ensure that only authorised persons have access to personal data.
– Implementation of retention period management mechanisms to securely delete 
data after the specified periods have expired. 
– Ensuring that clear contractual agreements exist when data is transferred to third parties. 
– Implementation of an emergency plan for the detection, reporting, and remediation 
of data breaches within the legally required timeframe. 
– Ensuring that appropriate safeguards (e.g., standard contractual clauses)
are implemented when transferring personal data to third countries.
</t>
    </r>
    <r>
      <rPr>
        <b/>
        <sz val="8"/>
        <color rgb="FF000000"/>
        <rFont val="Arial"/>
        <family val="2"/>
        <scheme val="minor"/>
      </rPr>
      <t>Technical measures – data</t>
    </r>
    <r>
      <rPr>
        <sz val="8"/>
        <color rgb="FF000000"/>
        <rFont val="Arial"/>
        <family val="2"/>
        <scheme val="minor"/>
      </rPr>
      <t xml:space="preserve">
– Use of encryption techniques to protect stored data 
– Use of anonymisation, pseudonymisation and other technologies such as 
differential privacy to prevent information from being classified as personal data, 
with justification of the necessity and effectiveness of the measures.</t>
    </r>
  </si>
  <si>
    <t>This should primarily cover the improper 
use or misuse of the system, which falsely uses or discloses proprietary data.</t>
  </si>
  <si>
    <r>
      <rPr>
        <b/>
        <sz val="8"/>
        <color theme="1"/>
        <rFont val="Arial"/>
        <family val="2"/>
        <scheme val="minor"/>
      </rPr>
      <t>Technical measures – model, data &amp; tests</t>
    </r>
    <r>
      <rPr>
        <sz val="8"/>
        <color theme="1"/>
        <rFont val="Arial"/>
        <family val="2"/>
        <scheme val="minor"/>
      </rPr>
      <t xml:space="preserve">
The AI system and its models and data were examined with regard to the 
objective defined in ND1.2. This includes at least:
– Description of the scope and execution of the tests (see ND1.2)
– Comparison with alternative tests/metrics
– Evaluation of compliance with predefined thresholds or target values
– Documentation of the test results and conclusions drawn from them.</t>
    </r>
  </si>
  <si>
    <r>
      <rPr>
        <b/>
        <sz val="8"/>
        <color theme="1"/>
        <rFont val="Arial"/>
        <family val="2"/>
        <scheme val="minor"/>
      </rPr>
      <t xml:space="preserve">Technical measures – model, data &amp; tests </t>
    </r>
    <r>
      <rPr>
        <sz val="8"/>
        <color theme="1"/>
        <rFont val="Arial"/>
        <family val="2"/>
        <scheme val="minor"/>
      </rPr>
      <t xml:space="preserve">
The AI system and its models and data were examined with regard to the
objective defined in ND1.2. This includes at least:
– Description of the scope and execution of the tests (see ND1.2)
– Evaluation of compliance with predefined thresholds or target values
– Documentation of the test results and conclusions drawn from them.</t>
    </r>
  </si>
  <si>
    <r>
      <rPr>
        <b/>
        <sz val="8"/>
        <color theme="1"/>
        <rFont val="Arial"/>
        <family val="2"/>
        <scheme val="minor"/>
      </rPr>
      <t xml:space="preserve">Evaluation </t>
    </r>
    <r>
      <rPr>
        <sz val="8"/>
        <color theme="1"/>
        <rFont val="Arial"/>
        <family val="2"/>
        <scheme val="minor"/>
      </rPr>
      <t xml:space="preserve">
– Assessment of interactions between measures, and weighing the mitigation 
of risks in conjunction with the risks of other quality dimensions
– Assessment by a qualified and authorised person as to whether the residual risk 
is tolerable
– Justification of the tolerability of the residual risk</t>
    </r>
  </si>
  <si>
    <t xml:space="preserve"> Important standards include, 
for example, BSI IT Baseline Protection (BSI IT-Grundschutz), 
ISO 27k series, IEC 62443, ISO/SAE 21434, ETSI EN 303 645, NIST AI RMF, 
…</t>
  </si>
  <si>
    <t xml:space="preserve"> Important standards include, 
for example, BSI IT Baseline Protection (BSI IT-Grundschutz), ISO 27k series, IEC 62443, ISO/SAE 21434, ETSI EN 303 645, NIST AI RMF, 
…</t>
  </si>
  <si>
    <r>
      <rPr>
        <b/>
        <sz val="8"/>
        <color rgb="FF000000"/>
        <rFont val="Arial"/>
        <family val="2"/>
        <scheme val="minor"/>
      </rPr>
      <t>Organisational measures – System-related processes</t>
    </r>
    <r>
      <rPr>
        <sz val="8"/>
        <color rgb="FF000000"/>
        <rFont val="Arial"/>
        <family val="2"/>
        <scheme val="minor"/>
      </rPr>
      <t xml:space="preserve">
– Processes must be in place to address potential intentional misuse of the 
AI system during operation, including the integration of possible shutdown
mechanisms into risk management.
– Processes should be in place to address any misuse detected through monitoring systems and logging.
– Processes should specifically ensure that, in addition to the functionality, 
integrity, and availability of the AI system, the objectives defined under the various quality dimensions are also protected in the event of misuse or abuse. This includes safeguarding personal or proprietary data, protection against discrimination, the degree of autonomy, and the associated human control mechanisms.
</t>
    </r>
    <r>
      <rPr>
        <b/>
        <sz val="8"/>
        <color rgb="FF000000"/>
        <rFont val="Arial"/>
        <family val="2"/>
        <scheme val="minor"/>
      </rPr>
      <t>Technical measures – system / operation</t>
    </r>
    <r>
      <rPr>
        <sz val="8"/>
        <color rgb="FF000000"/>
        <rFont val="Arial"/>
        <family val="2"/>
        <scheme val="minor"/>
      </rPr>
      <t xml:space="preserve">
– Security controls to prevent misuse and abuse should be in place and, if possible, implemented before the production phase. This includes prompt/output filtering 
methods for generative AI. For safeguards against data access, see also CY1.5.
– Inference inputs, queries, and prompts must be recorded as part of the monitoring
and logging to enable investigation in the event of misuse, compromise, or abuse.
– Red teaming of the entire system regarding misuse or abuse of the AI system
should be conducted.</t>
    </r>
  </si>
  <si>
    <r>
      <rPr>
        <b/>
        <sz val="7"/>
        <color rgb="FF000000"/>
        <rFont val="Arial"/>
        <family val="2"/>
        <scheme val="minor"/>
      </rPr>
      <t xml:space="preserve">Technical measures – Testing </t>
    </r>
    <r>
      <rPr>
        <sz val="7"/>
        <color rgb="FF000000"/>
        <rFont val="Arial"/>
        <family val="2"/>
        <scheme val="minor"/>
      </rPr>
      <t xml:space="preserve">
(metrics, AI models, attack scenarios, preparation and model training phase)
Examination of the scope-based selection and number of metrics and tests of 
adversarial robustness with respect to attack scenarios from the preparation and 
model training phases that may target the confidentiality, integrity, or availability of the
AI system. This includes testing with basic and advanced methods of at least the
following attack types:
a) data poisoning,
b) label poisoning,
c) AI-specific backdoor attacks.
– Penetration tests of system aspects related to AI-specific attacks during the preparation 
and model training phases should be performed.
The selected metrics and tests should have at least the following characteristics:
– Methods should be applied to each AI model within and for the AI system as a whole, if it generates an aggregated output.
– If justified by the selection, the metrics and tests should include both important basic methods 
and advanced methods (regarding complexity, information content, implementation effort,
e.g., comprehensive testing tools).
– The selected metrics and tests should allow for a high degree of automation where possible.
– If applicable, thresholds should be defined (as minimum requirements for functionality/performance) and the thresholds justified, taking into account the scope and
intended use.
– If applicable, the metrics and thresholds should be differentiated according to different 
use cases, with reference to the definition of the scope.
</t>
    </r>
    <r>
      <rPr>
        <b/>
        <sz val="7"/>
        <color rgb="FF000000"/>
        <rFont val="Arial"/>
        <family val="2"/>
        <scheme val="minor"/>
      </rPr>
      <t xml:space="preserve">
Technical measures – model
</t>
    </r>
    <r>
      <rPr>
        <sz val="7"/>
        <color rgb="FF000000"/>
        <rFont val="Arial"/>
        <family val="2"/>
        <scheme val="minor"/>
      </rPr>
      <t xml:space="preserve">– Appropriate AI-specific security controls to mitigate the identified risk of attacks during the preparation and model training phase of the AI system must be implemented at the model 
level (e.g., data filtering methods or backdoor search systems, uncertainty methods).
– Robustness proofs should be provided for each AI model against various relevant attack types.
</t>
    </r>
    <r>
      <rPr>
        <b/>
        <sz val="7"/>
        <color rgb="FF000000"/>
        <rFont val="Arial"/>
        <family val="2"/>
        <scheme val="minor"/>
      </rPr>
      <t xml:space="preserve">Technical measures – system
</t>
    </r>
    <r>
      <rPr>
        <sz val="7"/>
        <color rgb="FF000000"/>
        <rFont val="Arial"/>
        <family val="2"/>
        <scheme val="minor"/>
      </rPr>
      <t>– Appropriate AI-specific or non-AI-specific security controls to mitigate the identified risk of 
attacks during the preparation and model training phase of the AI system must be implemented
at the system level.
– Traditional security controls for the entire system during operation should be anticipated 
and planned, including integration into an existing CSMS. 
– Red teaming of the entire system with regard to AI-specific attacks should be carried out
during the preparation and model training phase.</t>
    </r>
  </si>
  <si>
    <r>
      <rPr>
        <b/>
        <sz val="8"/>
        <color rgb="FF000000"/>
        <rFont val="Arial"/>
        <family val="2"/>
        <scheme val="minor"/>
      </rPr>
      <t>Analysis – Risk</t>
    </r>
    <r>
      <rPr>
        <sz val="8"/>
        <color rgb="FF000000"/>
        <rFont val="Arial"/>
        <family val="2"/>
        <scheme val="minor"/>
      </rPr>
      <t xml:space="preserve">
Primarily qualitative assessment without probabilities
– Identification of potential risks 
– Allocation of risk responsibility 
– Qualitative estimation of impact 
– Qualitative grading and prioritisation of risks.
The risk assessment should, taking into account the intended use and scope 
(see TR1.1), consider at least the following: 
– Analysis of all potential attack scenarios and attack vectors on the AI elements 
of the system, including AI-specific (e.g., evasion attacks or data poisoning) 
or classic attacks (e.g., malware embedded in AI software libraries).
The risk assessment framework should ideally be embeddable in a cybersecurity management system and should ideally follow established standards.</t>
    </r>
  </si>
  <si>
    <r>
      <rPr>
        <b/>
        <sz val="8"/>
        <color theme="1"/>
        <rFont val="Arial"/>
        <family val="2"/>
        <scheme val="minor"/>
      </rPr>
      <t>Analysis – Risk</t>
    </r>
    <r>
      <rPr>
        <sz val="8"/>
        <color theme="1"/>
        <rFont val="Arial"/>
        <family val="2"/>
        <scheme val="minor"/>
      </rPr>
      <t xml:space="preserv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Lack of user trust
– Unclear accountability
– Concealment of biases or security vulnerabilities
– Non-compliance with regulatory requirements
– Interoperability issues</t>
    </r>
  </si>
  <si>
    <r>
      <rPr>
        <b/>
        <sz val="8"/>
        <color theme="1"/>
        <rFont val="Arial"/>
        <family val="2"/>
        <scheme val="minor"/>
      </rPr>
      <t>Analysis – Risk</t>
    </r>
    <r>
      <rPr>
        <sz val="8"/>
        <color theme="1"/>
        <rFont val="Arial"/>
        <family val="2"/>
        <scheme val="minor"/>
      </rPr>
      <t xml:space="preserve">
Primarily qualitative assessment without probabilities:
– Identification of potential hazards
– Assignment of risk responsibility
– Qualitative assessment of impact
– Qualitative grading and prioritisation of risks.
At least the following risk sources must be considered, taking into account
the intended use (see TR1.1):
– Lack of user trust
– Unclear accountability
– Concealment of biases or security vulnerabilities
– Non-compliance with regulatory requirements
– Interoperability issues</t>
    </r>
  </si>
  <si>
    <r>
      <rPr>
        <b/>
        <sz val="8"/>
        <color theme="1"/>
        <rFont val="Arial"/>
        <family val="2"/>
        <scheme val="minor"/>
      </rPr>
      <t>Analysis – Risk</t>
    </r>
    <r>
      <rPr>
        <sz val="8"/>
        <color theme="1"/>
        <rFont val="Arial"/>
        <family val="2"/>
        <scheme val="minor"/>
      </rPr>
      <t xml:space="preserve">
Limited risk analysis focusing on protection needs without quantifying probabilities:
– Identification of potential risks
– Assignment of risk responsibility
– Estimation of impact
– Structured grading and prioritisation of risks.
At least the following risk sources must be considered, taking into account 
the intended use (see TR1.1):
– Lack of user trust
– Unclear accountability
– Concealment of biases or security vulnerabilities
– Non-compliance with regulatory requirements
– Interoperability issues</t>
    </r>
  </si>
  <si>
    <r>
      <rPr>
        <b/>
        <sz val="8"/>
        <color theme="1"/>
        <rFont val="Arial"/>
        <family val="2"/>
        <scheme val="minor"/>
      </rPr>
      <t>Analysis – Risk</t>
    </r>
    <r>
      <rPr>
        <sz val="8"/>
        <color theme="1"/>
        <rFont val="Arial"/>
        <family val="2"/>
        <scheme val="minor"/>
      </rPr>
      <t xml:space="preserve">
Detailed risk analysis for explainability,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sources of risk must be considered, 
taking into account the intended use (see TR1.1):
– Lack of trust among users
– Lack of understanding of the system’s outputs
– Incorrect decisions due to an insufficient understanding of the system’s outputs</t>
    </r>
  </si>
  <si>
    <r>
      <rPr>
        <b/>
        <sz val="8"/>
        <color theme="1"/>
        <rFont val="Arial"/>
        <family val="2"/>
        <scheme val="minor"/>
      </rPr>
      <t>Analysis – Risk</t>
    </r>
    <r>
      <rPr>
        <sz val="8"/>
        <color theme="1"/>
        <rFont val="Arial"/>
        <family val="2"/>
        <scheme val="minor"/>
      </rPr>
      <t xml:space="preserv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sources of risk must be considered, taking into 
account the intended use (see TR1.1):
– Historical biases
– Sampling bias
– Model biases
– Attribution errors
– Implicit bias
– Confirmation bias
– Developer bias
– Bias due to user interactions
– Misinterpretation of results
– Insufficient consideration of potential (user) groups
– Disadvantage/discrimination against groups with protected attributes</t>
    </r>
  </si>
  <si>
    <r>
      <rPr>
        <b/>
        <sz val="8"/>
        <color theme="1"/>
        <rFont val="Arial"/>
        <family val="2"/>
        <scheme val="minor"/>
      </rPr>
      <t>Analysis – Risk</t>
    </r>
    <r>
      <rPr>
        <sz val="8"/>
        <color theme="1"/>
        <rFont val="Arial"/>
        <family val="2"/>
        <scheme val="minor"/>
      </rPr>
      <t xml:space="preserve">
Limited risk analysis focusing on protection needs without quantifying
probabilities:
– Identification of potential risks
– Assignment of risk responsibility
– Estimation of impact
– Structured grading and prioritisation of risks.
At least the following risk sources must be considered, taking into 
account the intended use (see TR1.1):
– Historical biases
– Sampling bias
– Model biases
– Attribution errors
– Implicit bias
– Confirmation bias
– Developer bias
– Bias due to user interactions
– Misinterpretation of results
– Insufficient consideration of potential (user) groups
– Disadvantage/discrimination against groups with protected attributes</t>
    </r>
  </si>
  <si>
    <r>
      <rPr>
        <b/>
        <sz val="8"/>
        <color theme="1"/>
        <rFont val="Arial"/>
        <family val="2"/>
        <scheme val="minor"/>
      </rPr>
      <t>Analysis – Risk</t>
    </r>
    <r>
      <rPr>
        <sz val="8"/>
        <color theme="1"/>
        <rFont val="Arial"/>
        <family val="2"/>
        <scheme val="minor"/>
      </rPr>
      <t xml:space="preserve">
Primarily qualitative assessment without probabilities:
– Identification of potential hazards
– Assignment of risk responsibility
– Qualitative assessment of impact
– Qualitative grading and prioritisation of risks.
At least the following risk sources must be considered, taking into
account the intended use (see TR1.1):
– Historical biases
– Sampling bias
– Model biases
– Attribution errors
– Implicit bias
– Confirmation bias
– Developer bias
– Bias due to user interactions
– Misinterpretation of results
– Insufficient consideration of potential (user) groups
– Disadvantage/discrimination against groups with protected attributes</t>
    </r>
  </si>
  <si>
    <r>
      <rPr>
        <b/>
        <sz val="8"/>
        <color rgb="FF000000"/>
        <rFont val="Arial"/>
        <family val="2"/>
        <scheme val="minor"/>
      </rPr>
      <t xml:space="preserve">Analysis – Definition </t>
    </r>
    <r>
      <rPr>
        <sz val="8"/>
        <color rgb="FF000000"/>
        <rFont val="Arial"/>
        <family val="2"/>
        <scheme val="minor"/>
      </rPr>
      <t xml:space="preserve">
– Determination of the level of autonomy or degree of human control
and involvement in decision-making processes
– Justified differentiation from other levels of autonomy
– Derivation of specific legal requirements regarding human oversight and control</t>
    </r>
  </si>
  <si>
    <r>
      <rPr>
        <b/>
        <sz val="8"/>
        <color theme="1"/>
        <rFont val="Arial"/>
        <family val="2"/>
        <scheme val="minor"/>
      </rPr>
      <t xml:space="preserve"> Analysis – Definition </t>
    </r>
    <r>
      <rPr>
        <sz val="8"/>
        <color theme="1"/>
        <rFont val="Arial"/>
        <family val="2"/>
        <scheme val="minor"/>
      </rPr>
      <t xml:space="preserve">
– Determination of the level of autonomy or degree of human control 
and involvement in decision-making processes
– Derivation of specific legal requirements regarding human oversight 
and control</t>
    </r>
  </si>
  <si>
    <r>
      <rPr>
        <b/>
        <sz val="8"/>
        <color theme="1"/>
        <rFont val="Arial"/>
        <family val="2"/>
        <scheme val="minor"/>
      </rPr>
      <t>Analysis – Definition</t>
    </r>
    <r>
      <rPr>
        <sz val="8"/>
        <color theme="1"/>
        <rFont val="Arial"/>
        <family val="2"/>
        <scheme val="minor"/>
      </rPr>
      <t xml:space="preserve">
Determination of the level of autonomy or degree of human control and
involvement in decision-making processes
– Derivation of specific legal requirements regarding human oversight and control</t>
    </r>
  </si>
  <si>
    <r>
      <rPr>
        <b/>
        <sz val="8"/>
        <color rgb="FF000000"/>
        <rFont val="Arial"/>
        <family val="2"/>
        <scheme val="minor"/>
      </rPr>
      <t>Analysis – Risk</t>
    </r>
    <r>
      <rPr>
        <sz val="8"/>
        <color rgb="FF000000"/>
        <rFont val="Arial"/>
        <family val="2"/>
        <scheme val="minor"/>
      </rPr>
      <t xml:space="preserve">
Detailed cybersecurity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The risk assessment should, taking into account the intended use and scope 
(see TR1.1), consider at least the following:
– All classic cybersecurity protection goals, i.e., confidentiality 
(e.g., protection of training data from malicious disclosure or misuse), integrity 
(e.g., protection of the AI system from malicious manipulation of the output to 
the attacker's advantage), and availability (e.g., protection of the AI system 
from maliciously caused overload)
– Threat modeling to determine probabilities of occurrence
– Vulnerability analysis to determine probabilities of occurrence
– Analysis of the system assets to be protected to determine the impact.
The risk assessment framework should ideally be embeddable in a cybersecurity management system and should ideally follow established standards.</t>
    </r>
  </si>
  <si>
    <r>
      <rPr>
        <b/>
        <sz val="8"/>
        <color rgb="FF000000"/>
        <rFont val="Arial"/>
        <family val="2"/>
        <scheme val="minor"/>
      </rPr>
      <t>Analysis – Risk</t>
    </r>
    <r>
      <rPr>
        <sz val="8"/>
        <color rgb="FF000000"/>
        <rFont val="Arial"/>
        <family val="2"/>
        <scheme val="minor"/>
      </rPr>
      <t xml:space="preserve">
Limited risk analysis focusing on protection needs without quantifying probabilities:
– Identification of potential risks
– Allocation of risk responsibility
– Qualitative estimation of impact
– Qualitative grading and prioritisation of risks.
The risk assessment should, taking into account the intended use and scope
(see TR1.1), consider at least the following:
– All classic cybersecurity protection goals, i.e., confidentiality 
(e.g., protection of personal training data from malicious disclosure or misuse), 
integrity (e.g., protection of the AI system from malicious manipulation of the output
to the attacker's advantage), and availability (e.g., protection of the AI system from maliciously caused overload)
– Threat modeling to determine probabilities of occurrence
– Vulnerability analysis to determine probabilities of occurrence
– Analysis of the system assets to be protected to determine the impact.
The risk assessment framework should ideally be embeddable in a cybersecurity management system and should ideally follow established standards.</t>
    </r>
  </si>
  <si>
    <r>
      <rPr>
        <b/>
        <sz val="8"/>
        <color rgb="FF000000"/>
        <rFont val="Arial"/>
        <family val="2"/>
        <scheme val="minor"/>
      </rPr>
      <t>Analysis – Risk</t>
    </r>
    <r>
      <rPr>
        <sz val="8"/>
        <color rgb="FF000000"/>
        <rFont val="Arial"/>
        <family val="2"/>
        <scheme val="minor"/>
      </rPr>
      <t xml:space="preserv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sources of risk must be considered, taking into account
the intended use (see TR1.1):
– Implications of (semi-)autonomous decisions made by the system 
without control, intervention, or correction by natural persons
– Ethical dilemmas / decision-making
– Lack of traceability of decisions
– Liability for decisions made by the AI system
– Authorship of outputs made by the AI system
– Error susceptibility of the AI system without this being detected by humans
– Incorrect/improper use (e.g., due to lack of qualification)</t>
    </r>
  </si>
  <si>
    <r>
      <rPr>
        <b/>
        <sz val="8"/>
        <color rgb="FF000000"/>
        <rFont val="Arial"/>
        <family val="2"/>
        <scheme val="minor"/>
      </rPr>
      <t xml:space="preserve">Analysis – Risk
</t>
    </r>
    <r>
      <rPr>
        <sz val="8"/>
        <color rgb="FF000000"/>
        <rFont val="Arial"/>
        <family val="2"/>
        <scheme val="minor"/>
      </rPr>
      <t>Limited risk analysis focusing on protection needs without quantifying probabilities:
– Identification of potential risks
– Assignment of risk responsibility
– Estimation of impact
– Structured grading and prioritisation of risks.
At least the following risk sources must be considered, 
taking into account the intended use (see TR1.1):
– Implications of (semi-)autonomous system decisions 
without control, intervention, or correction by natural persons
– Ethical dilemmas / decision-making
– Lack of traceability of decisions
– Liability for decisions of the AI system
– Authorship of outputs of the AI system
– Error susceptibility of the AI system without this being detected by humans
– Incorrect/improper use (e.g., due to lack of qualification)</t>
    </r>
  </si>
  <si>
    <r>
      <rPr>
        <b/>
        <sz val="8"/>
        <color rgb="FF000000"/>
        <rFont val="Arial"/>
        <family val="2"/>
        <scheme val="minor"/>
      </rPr>
      <t>Analysis – Risk</t>
    </r>
    <r>
      <rPr>
        <sz val="8"/>
        <color rgb="FF000000"/>
        <rFont val="Arial"/>
        <family val="2"/>
        <scheme val="minor"/>
      </rPr>
      <t xml:space="preserve">
Primarily qualitative assessment without probabilities:
– Identification of potential hazards
– Assignment of risk responsibility
– Qualitative assessment of the impact
– Qualitative grading and prioritisation of risks.
At least the following risk sources must be considered, 
taking into account the intended use (see TR1.1):
– Implications of (semi-)autonomous decisions by the system without control, intervention, or correction by natural persons
– Ethical dilemmas / decision-making
– Lack of traceability of decisions
– Liability for decisions of the AI system
– Authorship of outputs of the AI system
– Error susceptibility of the AI system without this being detected by humans
– Incorrect/improper use (e.g., due to lack of qualification)</t>
    </r>
  </si>
  <si>
    <t>Affected persons and users must be able to exercise their rights relating to personal data, including rights relating to data management, erasure and use, as well as the right to information, even during the operation of the AI system.</t>
  </si>
  <si>
    <t>No notifications or alerts are provided to users or affected persons</t>
  </si>
  <si>
    <t>Mechanisms must be in place that enable users or affected persons to reject, challenge, correct or interrupt the decisions and outputs of the AI system.</t>
  </si>
  <si>
    <r>
      <rPr>
        <b/>
        <sz val="8"/>
        <color theme="1"/>
        <rFont val="Arial"/>
        <family val="2"/>
        <scheme val="minor"/>
      </rPr>
      <t xml:space="preserve">Analysis – Metrics / Thresholds [Robustness] </t>
    </r>
    <r>
      <rPr>
        <sz val="8"/>
        <color theme="1"/>
        <rFont val="Arial"/>
        <family val="2"/>
        <scheme val="minor"/>
      </rPr>
      <t xml:space="preserve">
The application area dictates the selection and number of metrics, tests, 
and methods for analyzing the system's robustness, depending on the usefulness
of as many different categories as possible. This includes: 
– statistical evaluation of the AI model's robustness, e.g., to determine edge cases, 
or empirical evaluation of system functionality, e.g., in the form of experiments under extreme conditions; depending on the AI model, appropriate methods for determining uncertainty or the use of probabilistic AI model architectures; Metrics for calibrating uncertainty determination, e.g., for evaluating outlier effects – detection of erroneous inputs or malfunctions at the model level.
The selected metrics and tests should have at least the following characteristics: 
– Methods should be applied to each AI model within and to the AI system 
as a whole if it generates a collected output. 
– If justified by the selection, the metrics and tests should include both basic 
methods (simple metric) and some advanced methods (regarding information 
content, validity, implementation effort, e.g., comprehensive testing tools – 
see additional information). 
– Establishment of thresholds (as minimum robustness requirements) and 
justification of the thresholds, taking into account the scope and purpose 
(if applicable: differentiation of metrics and thresholds according to different
use cases with reference to the definition of the scope).
The justification of the metrics, tests, and methods addresses the following aspects: 
– Scope, purpose of the AI system, 
– Model type, 
– Composition of the AI system (i.e., interaction of the components or relationship between them). ML model and overall system), scope of the AI system (e.g. classification vs. regression)</t>
    </r>
  </si>
  <si>
    <r>
      <rPr>
        <b/>
        <sz val="8"/>
        <color rgb="FF000000"/>
        <rFont val="Arial"/>
        <family val="2"/>
        <scheme val="minor"/>
      </rPr>
      <t>Technical measure – tests</t>
    </r>
    <r>
      <rPr>
        <sz val="8"/>
        <color rgb="FF000000"/>
        <rFont val="Arial"/>
        <family val="2"/>
        <scheme val="minor"/>
      </rPr>
      <t xml:space="preserve">
– Formal description of the application scope as input for test methods
(Input space, application area with distribution, application limit, possibly
description of an ODD) 
– Execution of the test according to the test plan and documentation of all test results 
– documentation of weaknesses, including at least 
a) Any unexpected reduction in the actual performance of the AI system 
due to the system design and in relation to the intended use 
b) Limits of the input range (In which situations/with which inputs does
the AI system only work to a limited extent or not at all?</t>
    </r>
  </si>
  <si>
    <r>
      <rPr>
        <b/>
        <sz val="8"/>
        <color rgb="FF000000"/>
        <rFont val="Arial"/>
        <family val="2"/>
        <scheme val="minor"/>
      </rPr>
      <t xml:space="preserve">Organisational measures – Governance </t>
    </r>
    <r>
      <rPr>
        <sz val="8"/>
        <color rgb="FF000000"/>
        <rFont val="Arial"/>
        <family val="2"/>
        <scheme val="minor"/>
      </rPr>
      <t xml:space="preserve">
– Planning of, or, where possible, integration of organisational or technical measures
to mitigate errors in a management system, particularly with regard to human
– Caused systematic errors or faulty actions during the life cycle – the mitigation measures should be part of a defined strategy that can be integrated into an ongoing governance system for managing security risks.</t>
    </r>
  </si>
  <si>
    <r>
      <rPr>
        <b/>
        <sz val="8"/>
        <color theme="1"/>
        <rFont val="Arial"/>
        <family val="2"/>
        <scheme val="minor"/>
      </rPr>
      <t>Technical measures – metrics &amp; thresholds</t>
    </r>
    <r>
      <rPr>
        <sz val="8"/>
        <color theme="1"/>
        <rFont val="Arial"/>
        <family val="2"/>
        <scheme val="minor"/>
      </rPr>
      <t xml:space="preserve">
The selection and number of metrics and tests, justified by the application area, 
should include a variety of categories based on their usefulness. This includes: 
– Methods that promote/ensure the reliability of the AI components, e.g., a well
chosen optimisation method, uncertainty determinations (e.g., confidence levels). 
– Detection methods and error handling in checks at the data, model, or output levels, including appropriate thresholds. 
– Detection methods and error handling in checks at the system level, including non
– AI-specific measures and appropriate thresholds.
The selected metrics and tests should have at least the following characteristics: 
– If justified by the selection criteria, the metrics and tests should include both 
basic methods (simple metrics) and some advanced methods (regarding information content, significance, implementation effort, e.g., a comprehensive testing tool – 
see additional information). 
– If necessary, the definition of thresholds (as minimum requirements for the functionality/performance of the entire system) and justification of these thresholds, taking into account the application area and intended use.</t>
    </r>
  </si>
  <si>
    <r>
      <rPr>
        <b/>
        <sz val="8"/>
        <color theme="1"/>
        <rFont val="Arial"/>
        <family val="2"/>
        <scheme val="minor"/>
      </rPr>
      <t>Technical measures – metrics &amp; thresholds</t>
    </r>
    <r>
      <rPr>
        <sz val="8"/>
        <color theme="1"/>
        <rFont val="Arial"/>
        <family val="2"/>
        <scheme val="minor"/>
      </rPr>
      <t xml:space="preserve">
The selection and number of metrics and tests are justified by the application area, depending on the usefulness of different categories. This includes: 
– Methods that promote/ensure the reliability of the AI components, e.g., a well
chosen optimisation method, uncertainty determination (e.g., confidence levels); 
– Detection methods and error handling in checks at the data, model, or output levels, including appropriate thresholds.
The selected metrics and tests should ideally have the following characteristics: 
– If justified by the selection criteria, the metrics and tests should include both basic methods (simple metrics) and some advanced methods (regarding information 
content, significance, implementation effort, e.g., comprehensive testing tools – 
see additional information); 
– If necessary, the definition of thresholds (as minimum requirements for the functionality/performance of the entire system) and justification of these thresholds, taking into account the application area and intended use.</t>
    </r>
  </si>
  <si>
    <r>
      <rPr>
        <b/>
        <sz val="8"/>
        <color theme="1"/>
        <rFont val="Arial"/>
        <family val="2"/>
        <scheme val="minor"/>
      </rPr>
      <t>Technical measures – metrics &amp; thresholds</t>
    </r>
    <r>
      <rPr>
        <sz val="8"/>
        <color theme="1"/>
        <rFont val="Arial"/>
        <family val="2"/>
        <scheme val="minor"/>
      </rPr>
      <t xml:space="preserve">
The selection and number of metrics and tests are justified by the application area.
This includes at least one of the following methods: 
– Methods that promote/ensure the reliability of the AI components, 
e.g., a well
 chosen optimisation method, uncertainty determination (e.g., confidence levels) 
– Detection methods and error handling in checks at the data, model, or output levels, including appropriate thresholds. 
The selected metrics and tests should ideally have the following characteristics: 
– Basic methods are sufficient (regarding information content, significance, 
and implementation effort, e.g., a simple metric 
– see additional information) 
– If necessary, the definition of thresholds (as minimum requirements for the functionality/performance of the entire system) and justification of these thresholds, taking into account the application area and intended use.</t>
    </r>
  </si>
  <si>
    <r>
      <rPr>
        <b/>
        <sz val="8"/>
        <color rgb="FF000000"/>
        <rFont val="Arial"/>
        <family val="2"/>
        <scheme val="minor"/>
      </rPr>
      <t xml:space="preserve">Organisational measures – Governance / System-related processes
</t>
    </r>
    <r>
      <rPr>
        <sz val="8"/>
        <color rgb="FF000000"/>
        <rFont val="Arial"/>
        <family val="2"/>
        <scheme val="minor"/>
      </rPr>
      <t xml:space="preserve">– Implementation of retention period management mechanisms to securely delete 
data after the specified periods have expired.
– Clear contractual agreements with external service providers regarding access to, use of, and protection of proprietary data.
– Ensuring that companies retain control over their data at all times, especially 
when using external cloud or storage services.
– Implementation of a contingency plan for the detection, reporting, and 
remediation of data breaches.
</t>
    </r>
    <r>
      <rPr>
        <b/>
        <sz val="8"/>
        <color rgb="FF000000"/>
        <rFont val="Arial"/>
        <family val="2"/>
        <scheme val="minor"/>
      </rPr>
      <t xml:space="preserve">
Technical measures – Data 
</t>
    </r>
    <r>
      <rPr>
        <sz val="8"/>
        <color rgb="FF000000"/>
        <rFont val="Arial"/>
        <family val="2"/>
        <scheme val="minor"/>
      </rPr>
      <t>–</t>
    </r>
    <r>
      <rPr>
        <b/>
        <sz val="8"/>
        <color rgb="FF000000"/>
        <rFont val="Arial"/>
        <family val="2"/>
        <scheme val="minor"/>
      </rPr>
      <t xml:space="preserve"> </t>
    </r>
    <r>
      <rPr>
        <sz val="8"/>
        <color rgb="FF000000"/>
        <rFont val="Arial"/>
        <family val="2"/>
        <scheme val="minor"/>
      </rPr>
      <t xml:space="preserve">Implementation of strict access controls and authorisation management
to ensure that only authorised personnel have access to proprietary data. 
– Ensuring that data protection measures are integrated into the development 
and implementation of systems ("data protection by design"). 
– Implementation of encryption techniques and security protocols to protect the confidentiality and integrity of company data, especially during transmission and storage. 
– Implementation of mechanisms to ensure the integrity and authenticity 
of company data to prevent manipulation and guarantee its genuineness.
– Implementation of regular data backups and contingency plans for data
recovery in case of loss or damage.
– Ensuring the interoperability of data formats and the ability to easily transfer
company data between systems or providers.
</t>
    </r>
    <r>
      <rPr>
        <b/>
        <sz val="8"/>
        <color rgb="FF000000"/>
        <rFont val="Arial"/>
        <family val="2"/>
        <scheme val="minor"/>
      </rPr>
      <t xml:space="preserve">
Technical measures – Operation 
</t>
    </r>
    <r>
      <rPr>
        <sz val="8"/>
        <color rgb="FF000000"/>
        <rFont val="Arial"/>
        <family val="2"/>
        <scheme val="minor"/>
      </rPr>
      <t>– Regular reviews and audits of data processing processes and practices to ensure
that data protection requirements are met in accordance with the intended use.</t>
    </r>
  </si>
  <si>
    <r>
      <rPr>
        <b/>
        <sz val="8"/>
        <color rgb="FF000000"/>
        <rFont val="Arial"/>
        <family val="2"/>
        <scheme val="minor"/>
      </rPr>
      <t>Organisational measures – Governance / System-related processes</t>
    </r>
    <r>
      <rPr>
        <sz val="8"/>
        <color rgb="FF000000"/>
        <rFont val="Arial"/>
        <family val="2"/>
        <scheme val="minor"/>
      </rPr>
      <t xml:space="preserve">
– Implementation of retention period management mechanisms to securely delete 
data after the specified periods have expired.
– Clear contractual agreements with external service providers regarding access to, use of, and protection of proprietary data. 
– Ensuring that companies retain control over their data at all times, especially 
when using external cloud or storage services.
– Implementation of a contingency plan for the detection, reporting, and 
remediation of data breaches.
</t>
    </r>
    <r>
      <rPr>
        <b/>
        <sz val="8"/>
        <color rgb="FF000000"/>
        <rFont val="Arial"/>
        <family val="2"/>
        <scheme val="minor"/>
      </rPr>
      <t xml:space="preserve">
Technical measures – Data</t>
    </r>
    <r>
      <rPr>
        <sz val="8"/>
        <color rgb="FF000000"/>
        <rFont val="Arial"/>
        <family val="2"/>
        <scheme val="minor"/>
      </rPr>
      <t xml:space="preserve">
Implementation of strict access controls and authorisation management 
to ensure that only authorised individuals have access to proprietary data. 
– Implementation of encryption techniques and security protocols to protect the confidentiality and integrity of company data, especially during transmission and storage. 
– Implementation of mechanisms to ensure the integrity and authenticity 
of company data to prevent manipulation and guarantee its genuineness. 
– Implementation of regular data backups and contingency plans for data 
recovery in case of loss or damage.</t>
    </r>
    <r>
      <rPr>
        <b/>
        <sz val="8"/>
        <color rgb="FF000000"/>
        <rFont val="Arial"/>
        <family val="2"/>
        <scheme val="minor"/>
      </rPr>
      <t xml:space="preserve">
Technical measures – Operation</t>
    </r>
    <r>
      <rPr>
        <sz val="8"/>
        <color rgb="FF000000"/>
        <rFont val="Arial"/>
        <family val="2"/>
        <scheme val="minor"/>
      </rPr>
      <t xml:space="preserve">
– Regular reviews and audits of data processing processes and practices to ensure
that data protection requirements are met in accordance with the intended use.</t>
    </r>
  </si>
  <si>
    <r>
      <rPr>
        <b/>
        <sz val="8"/>
        <color rgb="FF000000"/>
        <rFont val="Arial"/>
        <family val="2"/>
        <scheme val="minor"/>
      </rPr>
      <t>Measures implemented in accordance with the data protection impact assessment pursuant to GDPR Art. 35 or</t>
    </r>
    <r>
      <rPr>
        <sz val="8"/>
        <color rgb="FF000000"/>
        <rFont val="Arial"/>
        <family val="2"/>
        <scheme val="minor"/>
      </rPr>
      <t xml:space="preserve">
</t>
    </r>
    <r>
      <rPr>
        <b/>
        <sz val="8"/>
        <color rgb="FF000000"/>
        <rFont val="Arial"/>
        <family val="2"/>
        <scheme val="minor"/>
      </rPr>
      <t>Organisational measures – Governance / System-related processes</t>
    </r>
    <r>
      <rPr>
        <sz val="8"/>
        <color rgb="FF000000"/>
        <rFont val="Arial"/>
        <family val="2"/>
        <scheme val="minor"/>
      </rPr>
      <t xml:space="preserve">
– Implementation of data minimization mechanisms to collect and process only
the necessary personal data.
– Introduction of strict access controls and authorisation management to ensure 
that only authorised persons have access to personal data.
– Implementation of retention period management mechanisms to securely delete 
data after the specified periods have expired.
– Ensuring that clear contractual agreements exist when data is transferred to third parties.
– Implementation of clear consent processes and transparent information methods 
for data subjects.
– Implementation of an emergency plan for the detection, reporting, and remediation 
of data breaches within the legally required timeframe.
– Ensuring that appropriate safeguards (e.g., standard contractual clauses) 
are implemented when transferring personal data to third countries.
</t>
    </r>
    <r>
      <rPr>
        <b/>
        <sz val="8"/>
        <color rgb="FF000000"/>
        <rFont val="Arial"/>
        <family val="2"/>
        <scheme val="minor"/>
      </rPr>
      <t xml:space="preserve">Technical measures – data
</t>
    </r>
    <r>
      <rPr>
        <sz val="8"/>
        <color rgb="FF000000"/>
        <rFont val="Arial"/>
        <family val="2"/>
        <scheme val="minor"/>
      </rPr>
      <t xml:space="preserve">– Ensuring that data protection measures are already integrated into the 
development and implementation of the systems ("data protection by design")
– Use of encryption techniques to protect stored data
– Use of anonymisation, pseudonymisation and other technologies such as 
differential privacy to prevent information from being classified as personal data, 
with justification for the necessity and effectiveness of the measures
– Implementation of processes to inform data subjects about automated decisions 
and their logic (where applicable, reference to AI-specific measures on explainability,
see TR2)
</t>
    </r>
    <r>
      <rPr>
        <b/>
        <sz val="8"/>
        <color rgb="FF000000"/>
        <rFont val="Arial"/>
        <family val="2"/>
        <scheme val="minor"/>
      </rPr>
      <t xml:space="preserve">Technical measures – Operation
</t>
    </r>
    <r>
      <rPr>
        <sz val="8"/>
        <color rgb="FF000000"/>
        <rFont val="Arial"/>
        <family val="2"/>
        <scheme val="minor"/>
      </rPr>
      <t>– Regular reviews and audits of data processing processes and practices 
to ensure that data protection requirements are met in accordance with 
the intended use.</t>
    </r>
  </si>
  <si>
    <r>
      <rPr>
        <b/>
        <sz val="8"/>
        <rFont val="Arial"/>
        <family val="2"/>
        <scheme val="minor"/>
      </rPr>
      <t xml:space="preserve">Organisational measure – User instruction
</t>
    </r>
    <r>
      <rPr>
        <sz val="8"/>
        <rFont val="Arial"/>
        <family val="2"/>
        <scheme val="minor"/>
      </rPr>
      <t xml:space="preserve">– Providing a clear and understandable explanation of data processing, 
data subject rights and the data controller
</t>
    </r>
    <r>
      <rPr>
        <b/>
        <sz val="8"/>
        <rFont val="Arial"/>
        <family val="2"/>
        <scheme val="minor"/>
      </rPr>
      <t xml:space="preserve">Organisational measure – Governance
</t>
    </r>
    <r>
      <rPr>
        <sz val="8"/>
        <rFont val="Arial"/>
        <family val="2"/>
        <scheme val="minor"/>
      </rPr>
      <t xml:space="preserve">– Establishment of clear channels to assist data subjects in exercising their rights
(see MA1.4) 
– Implementation of a system for obtaining and managing explicit consent for data processing.
</t>
    </r>
    <r>
      <rPr>
        <b/>
        <sz val="8"/>
        <rFont val="Arial"/>
        <family val="2"/>
        <scheme val="minor"/>
      </rPr>
      <t>Technical measure – Operation</t>
    </r>
    <r>
      <rPr>
        <sz val="8"/>
        <rFont val="Arial"/>
        <family val="2"/>
        <scheme val="minor"/>
      </rPr>
      <t xml:space="preserve">
– Operation Integration of mechanisms that enable automatic deletion 
of personal data after the storage period has expired or upon request.
</t>
    </r>
  </si>
  <si>
    <r>
      <rPr>
        <b/>
        <sz val="8"/>
        <color theme="1"/>
        <rFont val="Arial"/>
        <family val="2"/>
        <scheme val="minor"/>
      </rPr>
      <t>Analysis – Definition / Metrics &amp; Thresholds</t>
    </r>
    <r>
      <rPr>
        <sz val="8"/>
        <color theme="1"/>
        <rFont val="Arial"/>
        <family val="2"/>
        <scheme val="minor"/>
      </rPr>
      <t xml:space="preserve">
Based on the defined purpose of the AI system (TR1.1), it must be defined 
what level of avoidance of bias or protection against discrimination is 
necessary. This includes:
– Identifying sensitive or protected characteristics in the data with justification
– Identifying groups with protected characteristics based on potential users
and affected individuals
– Identifying additional groups that may be unexpectedly affected 
(e.g., because their characteristics are not explicitly stated as features 
but only implicitly present in the data)
– Defining the intended fairness
– Collaborating with representatives of identified groups with protected 
characteristics
– Defining tests, metrics, and thresholds to capture the objective within 
the framework of the fairness definition.
The selected metrics and tests should have at least the following characteristics:
– Methods should be applied to each AI model within and for the AI system as a 
whole, if it generates an aggregated output.
– If justified by the selection, the metrics and tests should include both essential 
basic methods and advanced methods (regarding complexity, information content, implementation effort, e.g., comprehensive testing tools).
– The selected metrics and tests should, where possible, allow for continuous 
evaluation of the AI models through a high degree of automation.</t>
    </r>
  </si>
  <si>
    <r>
      <rPr>
        <b/>
        <sz val="8"/>
        <color theme="1"/>
        <rFont val="Arial"/>
        <family val="2"/>
        <scheme val="minor"/>
      </rPr>
      <t>Analysis – Definition / Metrics &amp; Thresholds</t>
    </r>
    <r>
      <rPr>
        <sz val="8"/>
        <color theme="1"/>
        <rFont val="Arial"/>
        <family val="2"/>
        <scheme val="minor"/>
      </rPr>
      <t xml:space="preserve">
Based on the defined purpose of the AI system (TR1.1), the necessary level of 
bias prevention and discrimination protection must be defined. This includes:
– Identifying sensitive or protected characteristics in the data, with justification
– Identifying groups with protected characteristics based on potential users and
affected individuals
– Defining the intended fairness
– Establishing tests, metrics, and thresholds to measure the objective within the framework of the fairness definition.
The selected metrics and tests should have at least the following characteristics:
– Methods should be applied to each AI model within and for the AI system as 
a whole, if it generates an aggregated output.
– If justified by the selection, the metrics and tests should include both essential 
basic methods and advanced methods (in terms of complexity, information 
content, implementation effort, e.g., comprehensive testing tools).</t>
    </r>
  </si>
  <si>
    <r>
      <rPr>
        <b/>
        <sz val="8"/>
        <color theme="1"/>
        <rFont val="Arial"/>
        <family val="2"/>
        <scheme val="minor"/>
      </rPr>
      <t xml:space="preserve">Analysis – Definition / Metrics &amp; Thresholds </t>
    </r>
    <r>
      <rPr>
        <sz val="8"/>
        <color theme="1"/>
        <rFont val="Arial"/>
        <family val="2"/>
        <scheme val="minor"/>
      </rPr>
      <t xml:space="preserve">
Based on the defined purpose of the AI system (TR1.1), the necessary level of 
bias prevention and discrimination protection must be defined. This includes:
– Identifying sensitive or protected characteristics in the data
– Identifying groups with protected characteristics based on potential users and 
affected individuals
– Defining the intended fairness
– Establishing tests, metrics, and thresholds to measure the objective within the 
fairness definition.
The selected metrics and tests should have at least the following characteristics:
– Methods should be applied to each AI model within and for the AI system as 
a whole if it generates an aggregated output.
– Basic methods are sufficient (in terms of complexity, information content, and implementation effort, e.g., a simple metric).</t>
    </r>
  </si>
  <si>
    <t>The AI system must (be able to) be monitored during 
development and operation to prevent unwanted 
bias and discrimination.</t>
  </si>
  <si>
    <t>It must be assessed whether the measures 
taken have reduced the identified risks to
an acceptable level and whether the quality 
of the AI system meets the set targets.</t>
  </si>
  <si>
    <r>
      <rPr>
        <b/>
        <sz val="8"/>
        <color rgb="FF000000"/>
        <rFont val="Arial"/>
        <family val="2"/>
        <scheme val="minor"/>
      </rPr>
      <t>Technical measures – model</t>
    </r>
    <r>
      <rPr>
        <sz val="8"/>
        <color rgb="FF000000"/>
        <rFont val="Arial"/>
        <family val="2"/>
        <scheme val="minor"/>
      </rPr>
      <t xml:space="preserve">
The AI system must be made adequately explainable within the context 
of its intended use and with the aim of minimizing risk. This can include:
i) the selection of inherently interpretable algorithms, or 
ii) the selection of algorithms for which corresponding approaches exist 
for establishing the (local) explainability of individual outputs, and their 
subsequent implementation.
</t>
    </r>
    <r>
      <rPr>
        <b/>
        <sz val="8"/>
        <color rgb="FF000000"/>
        <rFont val="Arial"/>
        <family val="2"/>
        <scheme val="minor"/>
      </rPr>
      <t xml:space="preserve">
Technical measures – User instructions 
</t>
    </r>
    <r>
      <rPr>
        <sz val="8"/>
        <color rgb="FF000000"/>
        <rFont val="Arial"/>
        <family val="2"/>
        <scheme val="minor"/>
      </rPr>
      <t xml:space="preserve">The AI system must provide non-expert users with the necessary information 
to understand model outputs. A user interface is available for this purpose, 
containing the following aspects:
– Description of the methods used to make system outputs understandable
– Explanation of the generated explanation
– Requirements for users (e.g., computer science knowledge) to be able 
to understand them in principle.
</t>
    </r>
    <r>
      <rPr>
        <b/>
        <sz val="8"/>
        <color rgb="FF000000"/>
        <rFont val="Arial"/>
        <family val="2"/>
        <scheme val="minor"/>
      </rPr>
      <t xml:space="preserve">
Organisational measures – training
</t>
    </r>
    <r>
      <rPr>
        <sz val="8"/>
        <color rgb="FF000000"/>
        <rFont val="Arial"/>
        <family val="2"/>
        <scheme val="minor"/>
      </rPr>
      <t>Targeted training courses have been prepared for the qualification and training 
of personnel responsible for the operation and oversight of the AI system, 
as well as for human end users. These courses focus on the interpretation 
of results from the AI system and possible functions that support the explainability
of the results. At a minimum, the following aspects are covered:
– Relevance and benefits of the explainability of the AI system
in the operational context
– Methods and tools used for explainability
– Practice in applying the methods and tools for explanation</t>
    </r>
  </si>
  <si>
    <r>
      <rPr>
        <b/>
        <sz val="8"/>
        <color rgb="FF000000"/>
        <rFont val="Arial"/>
        <family val="2"/>
        <scheme val="minor"/>
      </rPr>
      <t>Technical measures – model</t>
    </r>
    <r>
      <rPr>
        <sz val="8"/>
        <color rgb="FF000000"/>
        <rFont val="Arial"/>
        <family val="2"/>
        <scheme val="minor"/>
      </rPr>
      <t xml:space="preserve">
The AI system must be made adequately explainable within the context 
of its intended use and with the aim of minimizing risk. This can include: 
i) the selection of inherently interpretable algorithms, or 
ii) the selection of algorithms for which corresponding approaches exist
for establishing the (local) explainability of individual outputs, and their 
subsequent implementation.
</t>
    </r>
    <r>
      <rPr>
        <b/>
        <sz val="8"/>
        <color rgb="FF000000"/>
        <rFont val="Arial"/>
        <family val="2"/>
        <scheme val="minor"/>
      </rPr>
      <t xml:space="preserve">Organisational measures – User instructions
</t>
    </r>
    <r>
      <rPr>
        <sz val="8"/>
        <color rgb="FF000000"/>
        <rFont val="Arial"/>
        <family val="2"/>
        <scheme val="minor"/>
      </rPr>
      <t>The AI system must provide non-expert users with the necessary information
to understand model outputs. This includes the following information:
– Description of the methods used to make system outputs understandable
– Explanation of the generated explanation
– Requirements for users (e.g., computer science knowledge) to understand 
the output in principle.
User instructions can also be covered entirely through training.</t>
    </r>
  </si>
  <si>
    <r>
      <rPr>
        <b/>
        <sz val="8"/>
        <color rgb="FF000000"/>
        <rFont val="Arial"/>
        <family val="2"/>
        <scheme val="minor"/>
      </rPr>
      <t>Technical measures – model</t>
    </r>
    <r>
      <rPr>
        <sz val="8"/>
        <color rgb="FF000000"/>
        <rFont val="Arial"/>
        <family val="2"/>
        <scheme val="minor"/>
      </rPr>
      <t xml:space="preserve">
The AI system must be made adequately explainable within the context of
its intended use and with the aim of minimizing risk. This can include:
i) the selection of inherently interpretable algorithms, or 
ii) the selection of algorithms for which corresponding approaches exist
for establishing the (local) explainability of individual outputs, and their 
subsequent implementation.
</t>
    </r>
    <r>
      <rPr>
        <b/>
        <sz val="8"/>
        <color rgb="FF000000"/>
        <rFont val="Arial"/>
        <family val="2"/>
        <scheme val="minor"/>
      </rPr>
      <t>Organisational measures – User instructions</t>
    </r>
    <r>
      <rPr>
        <sz val="8"/>
        <color rgb="FF000000"/>
        <rFont val="Arial"/>
        <family val="2"/>
        <scheme val="minor"/>
      </rPr>
      <t xml:space="preserve">
The AI system must provide non-expert users with the necessary information
to understand model outputs. This includes the following information:
– A description of the methods used to make system outputs understandable
– Requirements for users (e.g., computer science knowledge) to understand 
them in principle.
User instructions can also be covered entirely through training.</t>
    </r>
  </si>
  <si>
    <r>
      <rPr>
        <b/>
        <sz val="8"/>
        <color rgb="FF000000"/>
        <rFont val="Arial"/>
        <family val="2"/>
        <scheme val="minor"/>
      </rPr>
      <t>Organisational measure – System-related processes</t>
    </r>
    <r>
      <rPr>
        <sz val="8"/>
        <color rgb="FF000000"/>
        <rFont val="Arial"/>
        <family val="2"/>
        <scheme val="minor"/>
      </rPr>
      <t xml:space="preserve">
The documentation for the design and development process includes: 
– Overview of the responsible person(s) and their tasks 
– Traceability and systematic approach of individual work elements
(e.g. through project management tool)
</t>
    </r>
    <r>
      <rPr>
        <b/>
        <sz val="8"/>
        <color rgb="FF000000"/>
        <rFont val="Arial"/>
        <family val="2"/>
        <scheme val="minor"/>
      </rPr>
      <t>Technical measures – Data</t>
    </r>
    <r>
      <rPr>
        <sz val="8"/>
        <color rgb="FF000000"/>
        <rFont val="Arial"/>
        <family val="2"/>
        <scheme val="minor"/>
      </rPr>
      <t xml:space="preserve">
The documentation for the design and development process includes:
– Data used and its origin 
– Tracing the data lineage
</t>
    </r>
    <r>
      <rPr>
        <b/>
        <sz val="8"/>
        <color rgb="FF000000"/>
        <rFont val="Arial"/>
        <family val="2"/>
        <scheme val="minor"/>
      </rPr>
      <t>Technical measures – Model</t>
    </r>
    <r>
      <rPr>
        <sz val="8"/>
        <color rgb="FF000000"/>
        <rFont val="Arial"/>
        <family val="2"/>
        <scheme val="minor"/>
      </rPr>
      <t xml:space="preserve">
The documentation for the design and development process includes: 
– A system for version control and tracking of changes to the AI models 
and recording of the training and the data used in each case.</t>
    </r>
  </si>
  <si>
    <r>
      <rPr>
        <b/>
        <sz val="8"/>
        <color rgb="FF000000"/>
        <rFont val="Arial"/>
        <family val="2"/>
        <scheme val="minor"/>
      </rPr>
      <t>Organisational measure – System-related processes</t>
    </r>
    <r>
      <rPr>
        <sz val="8"/>
        <color rgb="FF000000"/>
        <rFont val="Arial"/>
        <family val="2"/>
        <scheme val="minor"/>
      </rPr>
      <t xml:space="preserve">
The documentation for the design and development process includes: 
– Overview of the responsible person(s) and their tasks 
– Traceability and systematic approach of individual work elements
(e.g. through project management tool)
</t>
    </r>
    <r>
      <rPr>
        <b/>
        <sz val="8"/>
        <color rgb="FF000000"/>
        <rFont val="Arial"/>
        <family val="2"/>
        <scheme val="minor"/>
      </rPr>
      <t>Technical measures – Data</t>
    </r>
    <r>
      <rPr>
        <sz val="8"/>
        <color rgb="FF000000"/>
        <rFont val="Arial"/>
        <family val="2"/>
        <scheme val="minor"/>
      </rPr>
      <t xml:space="preserve">
The documentation for the design and development process includes: 
– Data used and its origin 
– Relevant data preparation processes 
(e.g., cleaning, annotation, tagging, enrichment, aggregation, feature engineering)
– Data lineage tracing
</t>
    </r>
    <r>
      <rPr>
        <b/>
        <sz val="8"/>
        <color rgb="FF000000"/>
        <rFont val="Arial"/>
        <family val="2"/>
        <scheme val="minor"/>
      </rPr>
      <t>Technical measures – Model</t>
    </r>
    <r>
      <rPr>
        <sz val="8"/>
        <color rgb="FF000000"/>
        <rFont val="Arial"/>
        <family val="2"/>
        <scheme val="minor"/>
      </rPr>
      <t xml:space="preserve">
The documentation for the design and development process includes:
– A system for version control and tracking of changes to the AI models
and recording of the training and the data used in each case.</t>
    </r>
  </si>
  <si>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</si>
  <si>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Analysis – Risk</t>
    </r>
    <r>
      <rPr>
        <sz val="8"/>
        <color theme="1"/>
        <rFont val="Arial"/>
        <family val="2"/>
        <scheme val="minor"/>
      </rPr>
      <t xml:space="preserve">
Limited risk analysis for explainability, focusing on protection 
needs without quantifying probabilities:
– Identification of potential risks
– Assignment of risk responsibility
– Impact assessment
– Structured grading and prioritisation of risks.
At least the following risk sources must be considered, 
taking into account the intended use (see TR1.1):
– Lack of user trust
– Lack of understanding of the system’s outputs
– Incorrect decisions due to an insufficient understanding of system’s outputs</t>
    </r>
  </si>
  <si>
    <r>
      <rPr>
        <b/>
        <sz val="8"/>
        <color theme="1"/>
        <rFont val="Arial"/>
        <family val="2"/>
        <scheme val="minor"/>
      </rPr>
      <t>Analysis – Risk</t>
    </r>
    <r>
      <rPr>
        <sz val="8"/>
        <color theme="1"/>
        <rFont val="Arial"/>
        <family val="2"/>
        <scheme val="minor"/>
      </rPr>
      <t xml:space="preserve">
Primarily qualitative assessment without probabilities for explainability:
– Identification of potential hazards
– Assignment of risk responsibility
– Qualitative assessment of impact
– Qualitative grading and prioritisation of risks.
At least the following risk sources must be considered, 
taking into account the intended use (see TR1.1):
– Lack of user trust
– Lack of understanding of the system’s outputs
– Incorrect decisions due to an insufficient understanding of system’s outputs</t>
    </r>
  </si>
  <si>
    <t>The interpretability and explainability of the 
AI system must be analysed with regard to 
the user groups, the purpose, and the risks.</t>
  </si>
  <si>
    <r>
      <rPr>
        <b/>
        <sz val="8"/>
        <color rgb="FF000000"/>
        <rFont val="Arial"/>
        <family val="2"/>
        <scheme val="minor"/>
      </rPr>
      <t>Technical measure – tests</t>
    </r>
    <r>
      <rPr>
        <sz val="8"/>
        <color rgb="FF000000"/>
        <rFont val="Arial"/>
        <family val="2"/>
        <scheme val="minor"/>
      </rPr>
      <t xml:space="preserve">
The degree to which the AI system is interpretable or explainable for
the permitted user groups must be analysed taking into account the risk analysis 
(TR2.1) and intended purpose (TR1.1).
For this purpose, the relationship between inputs and outputs of the 
AI components of the system must be examined based on the inherent 
characteristics of the component or suitable technical tests.
The selected tests should have at least the following characteristics:
– If justified by the selection, the metrics and tests should include both important
basic methods and advanced methods (regarding complexity, information content, implementation effort, e.g., comprehensive testing tools)
– if necessary, defining thresholds (as minimum requirements for explainability) 
and justifying the thresholds, taking into account the scope and purpose
– if applicable: differentiation of metrics and thresholds according to different 
application scenarios with reference to the definition of the scope.</t>
    </r>
  </si>
  <si>
    <r>
      <rPr>
        <b/>
        <sz val="8"/>
        <color theme="1"/>
        <rFont val="Arial"/>
        <family val="2"/>
        <scheme val="minor"/>
      </rPr>
      <t>Evaluation</t>
    </r>
    <r>
      <rPr>
        <sz val="8"/>
        <color theme="1"/>
        <rFont val="Arial"/>
        <family val="2"/>
        <scheme val="minor"/>
      </rPr>
      <t xml:space="preserve">
– Assessment by a qualified and authorised person as to whether the 
residual risk is tolerable 
– Justification of the tolerability of the residual risk</t>
    </r>
  </si>
  <si>
    <r>
      <rPr>
        <b/>
        <sz val="8"/>
        <color theme="1"/>
        <rFont val="Arial"/>
        <family val="2"/>
        <scheme val="minor"/>
      </rPr>
      <t>Organisational measures – System-related processes</t>
    </r>
    <r>
      <rPr>
        <sz val="8"/>
        <color theme="1"/>
        <rFont val="Arial"/>
        <family val="2"/>
        <scheme val="minor"/>
      </rPr>
      <t xml:space="preserve">
Purpose-oriented logging concept for the AI system and the data used 
within it must be developed during development and operation. This concept 
must include at least the following information:
– Definition of the data and metrics to be monitored
– Description of the interface through which the logging can be accessed
</t>
    </r>
    <r>
      <rPr>
        <b/>
        <sz val="8"/>
        <color theme="1"/>
        <rFont val="Arial"/>
        <family val="2"/>
        <scheme val="minor"/>
      </rPr>
      <t>Technical measures – Operation</t>
    </r>
    <r>
      <rPr>
        <sz val="8"/>
        <color theme="1"/>
        <rFont val="Arial"/>
        <family val="2"/>
        <scheme val="minor"/>
      </rPr>
      <t xml:space="preserve">
An interface exists that allows for the recording and monitoring of at least
the following information during operation:
– If technically possible and meaningful within the application context, user
interactions and model requests, including the model version used for the request, inputs, and outputs
– Malfunctions (e.g., during the processing of automatic or manual actions).
If logging certain information is not technically feasible, this must be justified.
The metadata to be recorded in each case captures, within the scope of technical possibilities, at least information about:
– Type, time, duration, storage location, and actor/system of recorded events
or actions.</t>
    </r>
  </si>
  <si>
    <t>Cybersecurity risks to the
AI system must be analysed
taking into account its intended use.</t>
  </si>
  <si>
    <t>A cybersecurity management 
system (CSMS) must be 
in place for the AI system,
including all AI components 
and the embedded ICT system.</t>
  </si>
  <si>
    <r>
      <rPr>
        <b/>
        <sz val="8"/>
        <color theme="1"/>
        <rFont val="Arial"/>
        <family val="2"/>
        <scheme val="minor"/>
      </rPr>
      <t>Organisational measures – System-related processes</t>
    </r>
    <r>
      <rPr>
        <sz val="8"/>
        <color theme="1"/>
        <rFont val="Arial"/>
        <family val="2"/>
        <scheme val="minor"/>
      </rPr>
      <t xml:space="preserve">
– A process should be in place to analyse the cybersecurity of the software and hardware supply chains with regard to the development and production environment
of the AI system.
– The supply chain analysis includes pre-trained models, datasets, and software 
libraries used.</t>
    </r>
  </si>
  <si>
    <r>
      <rPr>
        <b/>
        <sz val="8"/>
        <color rgb="FF000000"/>
        <rFont val="Arial"/>
        <family val="2"/>
        <scheme val="minor"/>
      </rPr>
      <t>Analysis – Risk</t>
    </r>
    <r>
      <rPr>
        <sz val="8"/>
        <color rgb="FF000000"/>
        <rFont val="Arial"/>
        <family val="2"/>
        <scheme val="minor"/>
      </rPr>
      <t xml:space="preserve">
Detailed cybersecurity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The risk assessment should, taking into account the intended use and scope 
(see TR1.1), consider at least the following:
– Analysis of all potential attack scenarios and attack vectors on the AI elements
of the system, including AI-specific attacks (e.g., evasion attacks or data poisoning)
or classic attacks (e.g., malware embedded in AI software libraries).
The risk assessment framework should ideally be embeddable in a cybersecurity management system and should ideally follow established standards.</t>
    </r>
  </si>
  <si>
    <r>
      <rPr>
        <b/>
        <sz val="8"/>
        <color rgb="FF000000"/>
        <rFont val="Arial"/>
        <family val="2"/>
        <scheme val="minor"/>
      </rPr>
      <t>Analysis – Risk</t>
    </r>
    <r>
      <rPr>
        <sz val="8"/>
        <color rgb="FF000000"/>
        <rFont val="Arial"/>
        <family val="2"/>
        <scheme val="minor"/>
      </rPr>
      <t xml:space="preserve">
Limited risk analysis focusing on protection needs without quantifying probabilities
– Identification of potential risks
– Allocation of risk responsibility
– Estimation of impact
– Structured grading and prioritisation of risks.
The risk assessment should, taking into account the intended use and scope
(see TR1.1), consider at least the following:
- analysis of all potential attack scenarios and attack vectors on the AI elements of
the system, including AI-specific attacks (e.g., evasion attacks or data poisoning)
or traditional attacks (e.g., malware embedded in AI software libraries). 
The risk assessment framework should ideally be embeddable into a cybersecurity management system and should ideally follow established standards.</t>
    </r>
  </si>
  <si>
    <r>
      <rPr>
        <b/>
        <sz val="7"/>
        <color rgb="FF000000"/>
        <rFont val="Arial"/>
        <family val="2"/>
        <scheme val="minor"/>
      </rPr>
      <t>Technical measures – Testing</t>
    </r>
    <r>
      <rPr>
        <sz val="7"/>
        <color rgb="FF000000"/>
        <rFont val="Arial"/>
        <family val="2"/>
        <scheme val="minor"/>
      </rPr>
      <t xml:space="preserve">
(metrics, AI models, attacks in the inference and deployment phases):
Examination of the scope-based selection and number of metrics and tests of adversarial 
robustness with respect to attack scenarios during the inference and deployment phases 
that may target the confidentiality, integrity, or availability of the AI system. This includes 
testing with basic and advanced methods for at least the following attack types: 
a) evasion attacks, 
b) latency attacks, 
c) model extraction attacks, 
d) data reconstruction or property inference attacks, 
e) prompt injection attacks or jailbreaks.
– Penetration tests of system aspects related to AI-specific attacks during operation should be performed.
The selected metrics and tests should have at least the following characteristics:
– Methods should be applied to each AI model within and for the AI system as a whole, 
if it generates an aggregated output.
– If justified by the selection, the metrics and tests should include both important basic methods
and advanced methods (regarding complexity, information content, implementation effort,
e.g., comprehensive testing tools).
– The selected metrics and tests should allow for a high degree of automation where possible.
– If applicable, thresholds should be defined (as minimum requirements for functionality/performance) and the thresholds justified, taking into account the scope and
intended use.
– If applicable, the metrics and thresholds should be differentiated according to different 
use cases, with reference to the definition of the scope.
</t>
    </r>
    <r>
      <rPr>
        <b/>
        <sz val="7"/>
        <color rgb="FF000000"/>
        <rFont val="Arial"/>
        <family val="2"/>
        <scheme val="minor"/>
      </rPr>
      <t>Technical measures – model</t>
    </r>
    <r>
      <rPr>
        <sz val="7"/>
        <color rgb="FF000000"/>
        <rFont val="Arial"/>
        <family val="2"/>
        <scheme val="minor"/>
      </rPr>
      <t xml:space="preserve">
– Appropriate AI-specific security controls and technical measures to mitigate the identified
risk of attacks during the inference phase and deployment of the AI system must be implemented 
at the model level (e.g., adversarial training, methods to strengthen model robustness, or uncertainty methods).
– Robustness proofs should be provided for each AI model against various relevant attack types.
</t>
    </r>
    <r>
      <rPr>
        <b/>
        <sz val="7"/>
        <color rgb="FF000000"/>
        <rFont val="Arial"/>
        <family val="2"/>
        <scheme val="minor"/>
      </rPr>
      <t>Technical measures – system</t>
    </r>
    <r>
      <rPr>
        <sz val="7"/>
        <color rgb="FF000000"/>
        <rFont val="Arial"/>
        <family val="2"/>
        <scheme val="minor"/>
      </rPr>
      <t xml:space="preserve">
– Appropriate AI-specific or non-AI-specific security controls to mitigate the identified risk of 
attacks during the inference phase and deployment of the AI system must be implemented 
at the system level (e.g., monitoring of inputs, see MA2.3).
– Classic security controls for the entire system during operation should be anticipated and
planned, including integration into an existing CSMS. – Red teaming of the entire system with
regard to AI-specific attacks during the operational phase should be carried out.</t>
    </r>
  </si>
  <si>
    <r>
      <rPr>
        <b/>
        <sz val="7"/>
        <color rgb="FF000000"/>
        <rFont val="Arial"/>
        <family val="2"/>
        <scheme val="minor"/>
      </rPr>
      <t xml:space="preserve">Technical measures – Testing
</t>
    </r>
    <r>
      <rPr>
        <sz val="7"/>
        <color rgb="FF000000"/>
        <rFont val="Arial"/>
        <family val="2"/>
        <scheme val="minor"/>
      </rPr>
      <t xml:space="preserve">(metrics, AI models, attacks in the inference and deployment phases)
Examination of the application-scope-justified selection and number of metrics and tests 
of adversarial robustness with respect to attack scenarios in the inference and deployment 
phases that may target the confidentiality, integrity, or availability of the AI system. This includes 
testing with basic methods, ideally for the following attack types: 
a) evasion attacks, 
b) latency attacks, 
c) model extraction attacks, 
d) data reconstruction or property inference attacks, 
e) prompt injection attacks or jailbreaks.
The selected metrics and tests should ideally have the following characteristics: 
– Methods can be applied either to each AI model or to the AI system as a whole, 
depending on what is more sensible and feasible; 
– Basic methods are sufficient (regarding complexity, information content, implementation effort, 
e.g., a simple metric); 
– If necessary, definition of thresholds (as minimum requirements for functionality/performance)
and justification of the thresholds, taking into account the application scope and intended use.
</t>
    </r>
    <r>
      <rPr>
        <b/>
        <sz val="7"/>
        <color rgb="FF000000"/>
        <rFont val="Arial"/>
        <family val="2"/>
        <scheme val="minor"/>
      </rPr>
      <t xml:space="preserve">Technical measures – model
</t>
    </r>
    <r>
      <rPr>
        <sz val="7"/>
        <color rgb="FF000000"/>
        <rFont val="Arial"/>
        <family val="2"/>
        <scheme val="minor"/>
      </rPr>
      <t xml:space="preserve">– Appropriate AI-specific security controls to mitigate the identified risk of attacks during 
the inference phase and during the deployment of the AI system must be implemented at the
model level (e.g., adversarial training, methods to strengthen model robustness, or uncertainty methods).
– Robustness proofs should be provided for each AI model against various relevant attack types.
</t>
    </r>
    <r>
      <rPr>
        <b/>
        <sz val="7"/>
        <color rgb="FF000000"/>
        <rFont val="Arial"/>
        <family val="2"/>
        <scheme val="minor"/>
      </rPr>
      <t xml:space="preserve">Technical measures – system
</t>
    </r>
    <r>
      <rPr>
        <sz val="7"/>
        <color rgb="FF000000"/>
        <rFont val="Arial"/>
        <family val="2"/>
        <scheme val="minor"/>
      </rPr>
      <t>– Appropriate AI-specific or non-AI-specific security controls to mitigate the identified risk of 
attacks during the inference phase and deployment of the AI system must be implemented 
at the system level. (e.g., monitoring of inputs, see MA2.3)
– Classic security controls of the entire system during operation should be anticipated 
and planned, including integration into an existing CSMS.</t>
    </r>
  </si>
  <si>
    <r>
      <rPr>
        <b/>
        <sz val="7"/>
        <color rgb="FF000000"/>
        <rFont val="Arial"/>
        <family val="2"/>
        <scheme val="minor"/>
      </rPr>
      <t xml:space="preserve">Technical measures – Testing </t>
    </r>
    <r>
      <rPr>
        <sz val="7"/>
        <color rgb="FF000000"/>
        <rFont val="Arial"/>
        <family val="2"/>
        <scheme val="minor"/>
      </rPr>
      <t xml:space="preserve">
(metrics, AI models, attacks in the inference and deployment phases):
Examination of the scope-based selection and number of metrics and tests of adversarial 
robustness with respect to attack scenarios during the inference and deployment phases
that may target the confidentiality, integrity, or availability of the AI system. This includes 
testing with basic methods for at least the following attack types: 
a) evasion attacks, 
b) latency attacks, 
c) model extraction attacks, 
d) data reconstruction or property inference attacks, 
e) prompt injection attacks or jailbreaks.
Penetration tests of the entire system with respect to AI-specific attacks during operation should be performed. The selected metrics and tests should have at least the following characteristics: 
– Methods should be applied to each AI model within and for the AI system as a whole, if it 
generates an aggregated output. 
– If justified by the selection, the metrics and tests should include both important basic methods 
and advanced methods (regarding complexity, information content, implementation effort, 
e.g., comprehensive testing tools). 
– The selected metrics and tests should allow for a high degree of automation where possible. 
– If applicable, thresholds should be defined (as minimum requirements for functionality/performance) and the thresholds justified, taking into account the scope and intended use. 
-If applicable, the metrics and thresholds should be differentiated according to different use cases,with reference to the definition of the scope.
</t>
    </r>
    <r>
      <rPr>
        <b/>
        <sz val="7"/>
        <color rgb="FF000000"/>
        <rFont val="Arial"/>
        <family val="2"/>
        <scheme val="minor"/>
      </rPr>
      <t xml:space="preserve">Technical measures – model
</t>
    </r>
    <r>
      <rPr>
        <sz val="7"/>
        <color rgb="FF000000"/>
        <rFont val="Arial"/>
        <family val="2"/>
        <scheme val="minor"/>
      </rPr>
      <t xml:space="preserve">– Appropriate AI-specific security controls to mitigate the identified risk of attacks during the
inference phase and deployment of the AI system must be implemented at the model level
(e.g., adversarial training, methods to strengthen model robustness, or uncertainty methods).
– Robustness proofs should be provided for each AI model against various relevant attack types.
</t>
    </r>
    <r>
      <rPr>
        <b/>
        <sz val="7"/>
        <color rgb="FF000000"/>
        <rFont val="Arial"/>
        <family val="2"/>
        <scheme val="minor"/>
      </rPr>
      <t xml:space="preserve">
Technical measures – system
</t>
    </r>
    <r>
      <rPr>
        <sz val="7"/>
        <color rgb="FF000000"/>
        <rFont val="Arial"/>
        <family val="2"/>
        <scheme val="minor"/>
      </rPr>
      <t>– Appropriate AI-specific or non-AI-specific security controls to mitigate the identified risk of 
attacks during the inference phase and deployment of the AI system must be implemented
at the system level. (e.g., monitoring of inputs, see MA2.3)
– Classic security controls of the entire system during operation should be anticipated and 
planned, including integration into an existing CSMS.</t>
    </r>
  </si>
  <si>
    <r>
      <rPr>
        <b/>
        <sz val="7"/>
        <color rgb="FF000000"/>
        <rFont val="Arial"/>
        <family val="2"/>
        <scheme val="minor"/>
      </rPr>
      <t xml:space="preserve">Technical measures – Testing 
</t>
    </r>
    <r>
      <rPr>
        <sz val="7"/>
        <color rgb="FF000000"/>
        <rFont val="Arial"/>
        <family val="2"/>
        <scheme val="minor"/>
      </rPr>
      <t xml:space="preserve">(metrics, AI models, attack scenarios, preparation and model training phase)
Examination of the application-scope-justified selection and number of metrics and tests of adversarial robustness with respect to attack scenarios from the preparation and model training phases that may target the confidentiality, integrity, or availability of the AI system. This includes testing with basic methods for at least the following attack types:
a) data poisoning,
b) label poisoning, 
c) AI-specific backdoor attacks.
The selected metrics and tests should have at least the following characteristics: 
– Methods should be applied to each AI model within the system and to the AI system 
as a whole if it generates aggregated output. 
– If justified by the selection, the metrics and tests should include both important basic 
methods and advanced methods (in terms of complexity, information content, implementation
effort, e.g., comprehensive testing tools). 
– if necessary, setting threshold values (as minimum requirements for functionality/performance) and justifying the threshold values, taking into
account the scope and intended use. 
</t>
    </r>
    <r>
      <rPr>
        <b/>
        <sz val="7"/>
        <color rgb="FF000000"/>
        <rFont val="Arial"/>
        <family val="2"/>
        <scheme val="minor"/>
      </rPr>
      <t>Technical measures – model</t>
    </r>
    <r>
      <rPr>
        <sz val="7"/>
        <color rgb="FF000000"/>
        <rFont val="Arial"/>
        <family val="2"/>
        <scheme val="minor"/>
      </rPr>
      <t xml:space="preserve">
– Appropriate AI-specific security controls to mitigate the identified risk of attacks during the preparation and model training phase of the AI system must be implemented at the model 
level (e.g., data filtering methods or backdoor search systems, uncertainty methods).
– Robustness proofs should be provided for each AI model against various relevant 
attack types. 
</t>
    </r>
    <r>
      <rPr>
        <b/>
        <sz val="7"/>
        <color rgb="FF000000"/>
        <rFont val="Arial"/>
        <family val="2"/>
        <scheme val="minor"/>
      </rPr>
      <t xml:space="preserve">Technical measures – system </t>
    </r>
    <r>
      <rPr>
        <sz val="7"/>
        <color rgb="FF000000"/>
        <rFont val="Arial"/>
        <family val="2"/>
        <scheme val="minor"/>
      </rPr>
      <t xml:space="preserve">
– Appropriate AI-specific or non-AI-specific security controls to mitigate the identified risk of
attacks during the preparation and model training phase of the AI system must be implemented 
at the system level.</t>
    </r>
  </si>
  <si>
    <r>
      <rPr>
        <b/>
        <sz val="7"/>
        <color rgb="FF000000"/>
        <rFont val="Arial"/>
        <family val="2"/>
        <scheme val="minor"/>
      </rPr>
      <t xml:space="preserve">Technical measures – Testing
</t>
    </r>
    <r>
      <rPr>
        <sz val="7"/>
        <color rgb="FF000000"/>
        <rFont val="Arial"/>
        <family val="2"/>
        <scheme val="minor"/>
      </rPr>
      <t xml:space="preserve">(metrics, AI models, attack scenarios, preparation and model training phase):
Examination of the application-scope-justified selection and number of metrics and tests of adversarial robustness with respect to attack scenarios from the preparation and model training phases that may target the confidentiality, integrity, or availability of the AI system. 
This includes testing with basic methods, ideally for the following attack types:
a) data poisoning
b) label poisoning
c) AI-specific backdoor attacks.
The selected metrics and tests should ideally have the following characteristics:
– Methods can be applied either to each AI model or to the AI system as a whole, 
depending on what is more sensible and feasible.
– Basic methods are sufficient (regarding complexity, information content, implementation
effort, e.g., a simple metric).
– If necessary, definition of thresholds (as minimum requirements for functionality/performance) 
and justification of the thresholds, taking into account the application scope and intended use.
</t>
    </r>
    <r>
      <rPr>
        <b/>
        <sz val="7"/>
        <color rgb="FF000000"/>
        <rFont val="Arial"/>
        <family val="2"/>
        <scheme val="minor"/>
      </rPr>
      <t>Technical measures – model</t>
    </r>
    <r>
      <rPr>
        <sz val="7"/>
        <color rgb="FF000000"/>
        <rFont val="Arial"/>
        <family val="2"/>
        <scheme val="minor"/>
      </rPr>
      <t xml:space="preserve">
– Appropriate AI-specific security controls to mitigate the identified risk of attacks during the preparation and model training phase of the AI system must be implemented at the model level (e.g., data filtering methods or backdoor search systems, uncertainty methods).
– Robustness proofs should be provided for each AI model against various relevant attack types. 
</t>
    </r>
    <r>
      <rPr>
        <b/>
        <sz val="7"/>
        <color rgb="FF000000"/>
        <rFont val="Arial"/>
        <family val="2"/>
        <scheme val="minor"/>
      </rPr>
      <t>Technical measures – system</t>
    </r>
    <r>
      <rPr>
        <sz val="7"/>
        <color rgb="FF000000"/>
        <rFont val="Arial"/>
        <family val="2"/>
        <scheme val="minor"/>
      </rPr>
      <t xml:space="preserve">
– Appropriate AI-specific or non-AI-specific security controls to mitigate the identified risk of
attacks during the preparation and model training phase of the AI system must be implemented 
at the system level.</t>
    </r>
  </si>
  <si>
    <r>
      <rPr>
        <b/>
        <sz val="8"/>
        <color rgb="FF000000"/>
        <rFont val="Arial"/>
        <family val="2"/>
        <scheme val="minor"/>
      </rPr>
      <t xml:space="preserve">Data protection impact assessment implemented in accordance 
with GDPR Art. 35 or Risk analysis.
</t>
    </r>
    <r>
      <rPr>
        <sz val="8"/>
        <color rgb="FF000000"/>
        <rFont val="Arial"/>
        <family val="2"/>
        <scheme val="minor"/>
      </rPr>
      <t>Full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Data processing operations: Collection, storage, processing, and transfer 
of personal data, in particular risks in implementing the right to data portability 
or erasure. 
– Purpose limitation: Use of data beyond the originally defined purpose. 
– Data minimisation: Collection of unnecessary or excessive personal data. 
– Data access rights and storage: Unauthorised or uncontrolled access to sensitive personal data and retention of data beyond necessary periods. 
– Data transfer to third parties: Uncontrolled transfer of personal data to external
partners or service providers, risks in transferring personal data to countries with inadequate data protection. 
– Misuse of data: Potential misuse, such as identity theft or discrimination through improper data processing. 
– Anonymisation and pseudonymisation: Inadequate anonymisation or
pseudonymisation techniques. 
– Automated decision-making: Lack of transparency or control over 
automated decisions based on personal data.</t>
    </r>
  </si>
  <si>
    <r>
      <t xml:space="preserve">Organisational measures – training
</t>
    </r>
    <r>
      <rPr>
        <sz val="8"/>
        <color theme="1"/>
        <rFont val="Arial"/>
        <family val="2"/>
        <scheme val="minor"/>
      </rPr>
      <t>Target-group-oriented training program is offered to all internal and external 
employees involved in the development of the AI system. This program covers 
at least the following aspects:
– Communicating the purpose of the AI system
– Raising awareness of various potential biases and the recognition of potential discrimination in the context of AI systems
– Handling relevant data types (e.g., training and validation data, operational data, customer data) in accordance with applicable guidelines and legal and regulatory requirements
– Requirements for conducting training, validation, and testing of the AI model 
in the context of biases, fairness, and discrimination.
The program is regularly updated based on insights gained and changes to guidelines. The content used and participation in the program are documented.</t>
    </r>
  </si>
  <si>
    <r>
      <rPr>
        <b/>
        <sz val="8"/>
        <color theme="1"/>
        <rFont val="Arial"/>
        <family val="2"/>
        <scheme val="minor"/>
      </rPr>
      <t xml:space="preserve">Technical measures – data
</t>
    </r>
    <r>
      <rPr>
        <sz val="8"/>
        <color theme="1"/>
        <rFont val="Arial"/>
        <family val="2"/>
        <scheme val="minor"/>
      </rPr>
      <t>The data used for training, validation, and testing reflect the fairness objective, 
and the test data is suitable for uncovering potential biases in the AI system. 
This includes at least:
– Documentation of the data, selection or collection procedures, 
and processing steps (see DA 1.1)
– Implementation of processing steps to reduce unjustified biases in the data
– Justification of the appropriateness and benefits of measures applied to training
and test data with regard to the risk of unjustified bias and discrimination.</t>
    </r>
  </si>
  <si>
    <t>This could include affected individuals 
or deployers. Possible feedback
channels include surveys/questio-
nnaires, feedback forms, service
hotlines, email addresses, social 
media presence, suggestion boxes, chatbots, or comment sections.</t>
  </si>
  <si>
    <r>
      <rPr>
        <b/>
        <sz val="8"/>
        <color theme="1"/>
        <rFont val="Arial"/>
        <family val="2"/>
        <scheme val="minor"/>
      </rPr>
      <t>Organisational measures – User instructions</t>
    </r>
    <r>
      <rPr>
        <sz val="8"/>
        <color theme="1"/>
        <rFont val="Arial"/>
        <family val="2"/>
        <scheme val="minor"/>
      </rPr>
      <t xml:space="preserve">
Provision of instructions and information tailored to the target audience, 
containing at least the following:
– Contact information
– Purpose of the AI system
– Intended scope of application of the AI system
– Expected performance and functionality of the AI system
– Known risks and implications of using the AI system 
(risks arising from the use of the system and from its outputs)
– Summary of the expected input data
– Description of how to interpret the outputs of the AI system
– Description of the degree of autonomy and the decision-making 
processes of the AI system
– Necessary measures for human oversight of the system
– Requirements for users (e.g. training) for using the AI system
– Necessary maintenance measures (including software updates)
</t>
    </r>
    <r>
      <rPr>
        <b/>
        <sz val="8"/>
        <color theme="1"/>
        <rFont val="Arial"/>
        <family val="2"/>
        <scheme val="minor"/>
      </rPr>
      <t>Technical measures – Operation</t>
    </r>
    <r>
      <rPr>
        <sz val="8"/>
        <color theme="1"/>
        <rFont val="Arial"/>
        <family val="2"/>
        <scheme val="minor"/>
      </rPr>
      <t xml:space="preserve">
– Integration of notifications to natural persons interacting with the AI system, informing them that the results and any decision-making are based on the AI system
– Provision of information on outputs or decisions of the AI system that enables correct interpretation
– Warning about so-called “automation bias” and its potential consequences</t>
    </r>
  </si>
  <si>
    <r>
      <rPr>
        <b/>
        <sz val="8"/>
        <color rgb="FF000000"/>
        <rFont val="Arial"/>
        <family val="2"/>
        <scheme val="minor"/>
      </rPr>
      <t>Organisational measures – User instructions</t>
    </r>
    <r>
      <rPr>
        <sz val="8"/>
        <color rgb="FF000000"/>
        <rFont val="Arial"/>
        <family val="2"/>
        <scheme val="minor"/>
      </rPr>
      <t xml:space="preserve">
Provision of instructions and information tailored to the target audience, 
containing at least the following information:
– Contact information
– Purpose of the AI system
– Intended application area of the AI system
– Expected performance and functionality of the AI system
– Description of how to interpret the outputs of the AI system
– Necessary measures for human oversight of the system
– Necessary maintenance measures (including software updates)
</t>
    </r>
    <r>
      <rPr>
        <b/>
        <sz val="8"/>
        <color rgb="FF000000"/>
        <rFont val="Arial"/>
        <family val="2"/>
        <scheme val="minor"/>
      </rPr>
      <t>Technical measures – Operation</t>
    </r>
    <r>
      <rPr>
        <sz val="8"/>
        <color rgb="FF000000"/>
        <rFont val="Arial"/>
        <family val="2"/>
        <scheme val="minor"/>
      </rPr>
      <t xml:space="preserve">
– Integration of notifications to individuals interacting with the AI system
informing them that the results and potential decision-making are based on
the AI system 
– Warning about so-called "automation bias" and its potential consequences</t>
    </r>
  </si>
  <si>
    <r>
      <rPr>
        <b/>
        <sz val="8"/>
        <color theme="1"/>
        <rFont val="Arial"/>
        <family val="2"/>
        <scheme val="minor"/>
      </rPr>
      <t>Evaluation</t>
    </r>
    <r>
      <rPr>
        <sz val="8"/>
        <color theme="1"/>
        <rFont val="Arial"/>
        <family val="2"/>
        <scheme val="minor"/>
      </rPr>
      <t xml:space="preserve">
–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</si>
  <si>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Evaluation</t>
    </r>
    <r>
      <rPr>
        <sz val="8"/>
        <color theme="1"/>
        <rFont val="Arial"/>
        <family val="2"/>
        <scheme val="minor"/>
      </rPr>
      <t xml:space="preserve">
– Summary review of the effects of implementing the technical and 
organisational measures
– Assessment of the interactions of the measures taken, and consideration 
of the mitigation of risks in conjunction with the risks of other quality dimensions
– Identification and description of the residual risk after implementation of the 
technical and organisational measures
– Assessment by a qualified and authorised person as to whether
the residual risk is tolerable
– Justification of the tolerability of the residual risk</t>
    </r>
  </si>
  <si>
    <t>The risks that the AI system could cause harm
without human oversight (and control) must 
be analysed.</t>
  </si>
  <si>
    <t>The persons responsible for the operation and 
oversight of the AI system must have access 
to an understandable description of the AI system 
and be adequately prepared to perform their duties.</t>
  </si>
  <si>
    <r>
      <rPr>
        <b/>
        <sz val="8"/>
        <color theme="1"/>
        <rFont val="Arial"/>
        <family val="2"/>
        <scheme val="minor"/>
      </rPr>
      <t>Evaluation</t>
    </r>
    <r>
      <rPr>
        <sz val="8"/>
        <color theme="1"/>
        <rFont val="Arial"/>
        <family val="2"/>
        <scheme val="minor"/>
      </rPr>
      <t xml:space="preserve">
Weighing the interactions of the measures taken, and weighing the mitigation 
of risks in conjunction with the risks of other quality dimensions
– Assessment by a qualified and authorised person as to whether the residual risk 
is tolerable
– Justification of the tolerability of the residual risk</t>
    </r>
  </si>
  <si>
    <r>
      <rPr>
        <b/>
        <sz val="8"/>
        <color theme="1"/>
        <rFont val="Arial"/>
        <family val="2"/>
        <scheme val="minor"/>
      </rPr>
      <t xml:space="preserve">Organisational measures – Governance &amp; Technical measures – Operations </t>
    </r>
    <r>
      <rPr>
        <sz val="8"/>
        <color theme="1"/>
        <rFont val="Arial"/>
        <family val="2"/>
        <scheme val="minor"/>
      </rPr>
      <t xml:space="preserve">
(Connection to cybersecurity management system)
It must be ensured that the AI system can be embedded in a cybersecurity
management system (CSMS), in particular:
– Monitoring and logging must be implemented or planned and provide interfaces 
for a CSMS
– the documentation of vulnerabilities, assets, risk analysis and the results of all mitigation measures should be fully available
– a strategy for software and security updates should be in place.
The AI system should provide interfaces to cover at least the following aspects 
of a CSMS:
– A system lifecycle-based system for regular cybersecurity quality control, 
including planned reviews of security measures and protocols.
– Fundamental cybersecurity asset management, including security controls and monitoring systems themselves
– Vulnerability management (identification throughout the entire lifecycle, 
especially training/evaluation and deployment phases; penetration tests should be mandatory where necessary)
– A cybersecurity monitoring system
– Access management to the various assets and components of the system
– Aspects of personnel management, such as training, education, and role 
assignment in the development and support of the AI product
– An analysis of the expected and actual timeframe within which security updates 
are provided for the AI system
– Strategies for regular review of security measures and protocols
– Documentation of the CSMS. The information must be directly accessible
from the AI application.
– The CSMS can be demonstrated through compliance with relevant cybersecurity standards; corresponding proof for the developed AI system should automatically 
be rated as A (e.g., BSI IT Baseline Protection (BSI IT-Grundschutz), ISO 27k series, IEC 62443, ISO/SAE 21434, ETSI EN 303 645, NIST AI RMF, ... )</t>
    </r>
  </si>
  <si>
    <r>
      <rPr>
        <b/>
        <sz val="8"/>
        <color rgb="FF000000"/>
        <rFont val="Arial"/>
        <family val="2"/>
        <scheme val="minor"/>
      </rPr>
      <t xml:space="preserve">Organisational measures – Governance &amp; Technical measures – Operations </t>
    </r>
    <r>
      <rPr>
        <sz val="8"/>
        <color rgb="FF000000"/>
        <rFont val="Arial"/>
        <family val="2"/>
        <scheme val="minor"/>
      </rPr>
      <t xml:space="preserve">
(Connection to cybersecurity management system)
As much information as possible should be provided so that the AI system can 
be embedded in a cybersecurity management system (CSMS), in particular:
– Monitoring and logging must be provided as a minimum and offer interfaces 
for a CSMS
– the documentation of vulnerabilities, assets, risk analysis and the results of all mitigation measures should be fully available.
The AI system should provide interfaces to cover at least the following aspects 
of a CSMS:
– A system lifecycle-based system for regular cybersecurity quality control, 
including planned reviews of security measures and protocols.
– Basic cybersecurity asset management, including security controls and monitoring systems themselves
– Vulnerability management (identification throughout the entire lifecycle, especially training/evaluation and deployment phases; penetration tests should be mandatory
where necessary)
– Access management to the various assets and components of the system
– An analysis of the expected and actual timeframe within which security updates 
are provided for the AI system/application
– Strategies for regular review of security measures and protocols
– Documentation of the CSMS. The information must be directly accessible 
from the AI application.
– The CSMS can be demonstrated through compliance with relevant cybersecurity standards; corresponding proof for the developed AI system should automatically 
be rated as A (e.g., BSI IT Baseline Protection (BSI IT-Grundschutz), ISO 27k series, IEC 62443, ISO/SAE 21434, ETSI EN 303 645, NIST AI RMF, ... )</t>
    </r>
  </si>
  <si>
    <t>Important standards include, 
for example, BSI IT Baseline Protection
(BSI IT-Grundschutz), ISO 27k series,
IEC 62443, ISO/SAE 21434, ETSI EN
303 645, NIST AI RMF, ...</t>
  </si>
  <si>
    <r>
      <rPr>
        <b/>
        <sz val="8"/>
        <color rgb="FF000000"/>
        <rFont val="Arial"/>
        <family val="2"/>
        <scheme val="minor"/>
      </rPr>
      <t>Analysis – Risk</t>
    </r>
    <r>
      <rPr>
        <sz val="8"/>
        <color rgb="FF000000"/>
        <rFont val="Arial"/>
        <family val="2"/>
        <scheme val="minor"/>
      </rPr>
      <t xml:space="preserve">
Detailed risk analysis including quantification of probabilities of occurrence 
and risks: 
– Identification of potential risks and their causes 
– Assignment of risk responsibility 
– Estimation of the probability of occurrence 
– Estimation of the probability of detection 
– Estimation of the impact 
– Structured grading and prioritisation of risks.
At least the following risk sources must be considered, taking into account
the intended use (see TR1.1): 
– Faulty model training, incorrect model selection, or unsuitable optimisation 
and validation strategies 
– Poorly chosen metrics and tests 
– Limitations in model training, e.g., due to insufficient or inadequate training, 
validation, or test data, overfitting (direct/indirect analysis) 
– Hardware limitations in training and inference 
– Impact of changes to the composition of the AI system (software and
hardware levels), in particular risks from retraining or online learning</t>
    </r>
  </si>
  <si>
    <r>
      <rPr>
        <b/>
        <sz val="8"/>
        <color rgb="FF000000"/>
        <rFont val="Arial"/>
        <family val="2"/>
        <scheme val="minor"/>
      </rPr>
      <t>Analysis – Risk</t>
    </r>
    <r>
      <rPr>
        <sz val="8"/>
        <color rgb="FF000000"/>
        <rFont val="Arial"/>
        <family val="2"/>
        <scheme val="minor"/>
      </rPr>
      <t xml:space="preserve">
Primarily a qualitative assessment of hazards without probabilities 
– Identification of potential hazards: 
– Assignment of risk responsibility 
– Qualitative assessment of impact 
– Qualitative grading and prioritisation of hazards.
At least the following risk sources must be considered, taking into account
the intended use (see TR1.1): 
– Faulty model training, incorrect model choice, or unsuitable optimisation 
and validation strategies 
– Poorly chosen metrics and tests 
– Limits in model training, e.g., due to insufficient or inadequate training,
validation, or test data, overfitting 
– Hardware limitations in training and inference 
– Need for a well-calibrated uncertainty assessment 
– Impact of changes to the AI system's composition (software and hardware levels), particularly risks from retraining or online learning</t>
    </r>
  </si>
  <si>
    <r>
      <rPr>
        <b/>
        <sz val="8"/>
        <color theme="1"/>
        <rFont val="Arial"/>
        <family val="2"/>
        <scheme val="minor"/>
      </rPr>
      <t>Analysis – Metrics / Thresholds [Performance]</t>
    </r>
    <r>
      <rPr>
        <sz val="8"/>
        <color theme="1"/>
        <rFont val="Arial"/>
        <family val="2"/>
        <scheme val="minor"/>
      </rPr>
      <t xml:space="preserve">
The selection and number of metrics and tests are determined by the application
area, with a focus on the usefulness of different categories. This includes: 
– statistical evaluation of the AI model or empirical evaluation of the system
functionality across the entire AI system, e.g., through user experiments or 
surveys; 
– appropriate methods for determining uncertainty, chosen according to the AI model,
or the use of probabilistic AI model architectures; Metrics for Calibrating 
Uncertainty Determination (e.g., via confidence levels)
The selected metrics and tests should ideally have the following characteristics
and parameters: 
– Methods should be applied to each AI model within and for the AI system 
as a whole, if it generates a collected output. 
– If justified by the selection, the metrics and tests should include both basic
methods (simple metrics) and some advanced methods (regarding information
content, validity, implementation effort, e.g., comprehensive testing tools –
see additional information). 
– Definition of threshold values (as minimum requirements for functionality/
performance) and justification of the threshold values, taking into account 
the scope and purpose.
The justification of the metrics, tests, and methods addresses the following aspects: 
– Scope, purpose of the AI system, 
– Model type, 
– Composition of the AI system (i.e., interaction of the components or relationship
between the ML model and the overall system), task area of the AI system 
(e.g., classification vs. regression).</t>
    </r>
  </si>
  <si>
    <r>
      <rPr>
        <b/>
        <sz val="8"/>
        <color theme="1"/>
        <rFont val="Arial"/>
        <family val="2"/>
        <scheme val="minor"/>
      </rPr>
      <t>Analysis – Metrics / Thresholds [Performance]</t>
    </r>
    <r>
      <rPr>
        <sz val="8"/>
        <color theme="1"/>
        <rFont val="Arial"/>
        <family val="2"/>
        <scheme val="minor"/>
      </rPr>
      <t xml:space="preserve">
Selection and number of metrics and tests based on the application area. 
Depending on the AI model, this includes at least one of the following methods: 
– statistical evaluation of the AI model or empirical evaluation of the system 
functionality across the entire AI system, e.g., through user experiments or 
surveys.
The selected metrics and tests should ideally have the following characteristics 
and parameters: 
– Methods can be applied either to each AI model or to the AI system as a whole, depending on what is more practical and feasible. 
– Basic methods are sufficient (regarding information content, validity, 
and implementation effort, e.g., a comprehensive testing tool – see additional information). 
– Definition of threshold values (as minimum requirements for functionality/
performance) and justification of these threshold values, taking into account 
the application area and intended use.
The justification for the metrics, tests, and methods addresses at least 
one of the following aspects: 
– Application area, purpose of the AI system, 
– Model type, 
– Composition of the AI system (i.e., interaction of the components or relationship
between the ML model and the overall system), task area of the AI system
(e.g., classification vs. regression).</t>
    </r>
  </si>
  <si>
    <r>
      <rPr>
        <b/>
        <sz val="8"/>
        <color theme="1"/>
        <rFont val="Arial"/>
        <family val="2"/>
        <scheme val="minor"/>
      </rPr>
      <t>Analysis – Metrics / Thresholds [Performance]</t>
    </r>
    <r>
      <rPr>
        <sz val="8"/>
        <color theme="1"/>
        <rFont val="Arial"/>
        <family val="2"/>
        <scheme val="minor"/>
      </rPr>
      <t xml:space="preserve">
The selection and number of metrics and tests are determined by the application 
area, with a focus on the usefulness of different categories. This includes: 
– statistical evaluation of the AI model or empirical evaluation of the system
functionality across the entire AI system, e.g., through user experiments or 
surveys; 
– appropriate methods for determining uncertainty, chosen according to the AI model, 
or the use of probabilistic AI model architectures; Metrics for Calibrating 
Uncertainty Determination (e.g., via confidence levels)
The selected metrics and tests should ideally have the following characteristics
and parameters: 
– Methods should be applied to each AI model within and to the AI system as 
a whole if it generates a collected output. 
– If justified by the selection, the metrics and tests should include both basic methods (simple metrics) and some advanced methods (regarding information content, validity, implementation effort, e.g., comprehensive testing tools - see additional information). 
– Definition of thresholds (as minimum requirements for functionality/performance) 
and justification of the thresholds, taking into account the scope and purpose 
(if applicable: differentiation of metrics and thresholds according to different
use cases with reference to the definition of the scope).
The justification of the metrics, tests, and methods addresses the following aspects: 
– Scope, purpose of the AI system, 
– Model type, 
– Composition of the AI system (i.e., interaction of the components or relationship 
between the ML model and the overall system), scope of the AI systems 
(e.g., classification vs. regression)</t>
    </r>
  </si>
  <si>
    <r>
      <rPr>
        <b/>
        <sz val="8"/>
        <color theme="1"/>
        <rFont val="Arial"/>
        <family val="2"/>
        <scheme val="minor"/>
      </rPr>
      <t>Analysis – Metrics / Thresholds [Robustness]</t>
    </r>
    <r>
      <rPr>
        <sz val="8"/>
        <color theme="1"/>
        <rFont val="Arial"/>
        <family val="2"/>
        <scheme val="minor"/>
      </rPr>
      <t xml:space="preserve">
The selection and number of metrics and tests are determined by the application 
area, with a focus on the usefulness of different categories. This includes: 
– statistical evaluation of the AI model or empirical evaluation of the system
functionality across the entire AI system, e.g., through user experiments or 
surveys; 
– appropriate methods for determining uncertainty, chosen according to the AI model,
or the use of probabilistic AI model architectures; Metrics for calibrating
uncertainty determination, e.g., for evaluating outlier effects – detection of erroneous inputs or malfunctions at the model level.
The selected metrics and tests should ideally have the following characteristics: 
– Methods should be applied to each AI model within and to the AI system 
as a whole if it generates a collected output. 
– If justified by the selection, the metrics and tests should include both basic 
methods (simple metrics) and some advanced methods (regarding information 
content, validity, implementation effort, e.g., comprehensive testing tools – s
ee additional information). 
– Definition of thresholds (as minimum requirements for functionality/performance) 
and justification of the thresholds, taking into account the application area and 
intended use.
The justification of the metrics, tests, and methods addresses the following aspects: 
– Application area, purpose of the AI system, 
– Model type, 
– Composition of the AI system (i.e., interaction of the components or relationship between the ML model and the overall system), task area of the AI system
(e.g., classification vs. regression).</t>
    </r>
  </si>
  <si>
    <r>
      <rPr>
        <b/>
        <sz val="8"/>
        <color theme="1"/>
        <rFont val="Arial"/>
        <family val="2"/>
        <scheme val="minor"/>
      </rPr>
      <t>Analysis – Metrics / Thresholds [Performance]</t>
    </r>
    <r>
      <rPr>
        <sz val="8"/>
        <color theme="1"/>
        <rFont val="Arial"/>
        <family val="2"/>
        <scheme val="minor"/>
      </rPr>
      <t xml:space="preserve">
The selection and number of metrics and tests are determined by the application
area. Depending on the AI model, this includes at least one of the following methods: 
– statistical evaluation of the AI model or empirical evaluation of the system 
functionality across the entire AI system, e.g., through user experiments or 
surveys; 
– detection of erroneous inputs or malfunctions at the model level.
The selected metrics and tests should ideally have the following characteristics: 
– Methods can be applied either to each AI model or to the AI system as a whole, depending on what is more sensible and feasible. 
– Basic methods are sufficient (regarding information content, validity, 
implementation effort, e.g., comprehensive testing tools 
– see additional information). 
– Definition of thresholds (as minimum requirements for functionality/performance) 
and justification of the thresholds, taking into account the scope and intended use.
The rationale for the metrics, tests, and methods addresses the following aspects: 
– Application area, purpose of the AI system, 
– Model type, 
– Composition of the AI system (i.e., interaction of the components or relationship between the ML model and the overall system), task area of the AI system
(e.g., classification vs. regression)</t>
    </r>
  </si>
  <si>
    <t>The intended functionality should 
be derived from the intended use 
and application area.
The rationale for the metrics addresses, 
for example, the following aspects: 
– Application area, purpose of the
AI system, 
– Model type, 
– Composition of the AI system
(i.e., interaction of the components or relationship between the ML model and
the overall system), 
– ML task (Classification/Regression/Generation/
Unsupervised (e.g., Clustering, Anomaly Detection…)/Reinforcement Learning, 
etc.).
For statistical evaluation: if available, 
on established benchmark datasets, 
e.g., with appropriate augmentations
to cover robustness tests.
Distinction between basic and advanced methods: 
– The "Technical Testing Methods Collection.xlsx" lists some common 
methods and categorizes them as basic
and advanced. 
– Self-developed test methods are recognized as advanced methods.
The selected metrics and tests should,
if possible, allow for a high degree of automation.</t>
  </si>
  <si>
    <r>
      <rPr>
        <b/>
        <sz val="8"/>
        <color rgb="FF000000"/>
        <rFont val="Arial"/>
        <family val="2"/>
        <scheme val="minor"/>
      </rPr>
      <t>Technical measure – test</t>
    </r>
    <r>
      <rPr>
        <sz val="8"/>
        <color rgb="FF000000"/>
        <rFont val="Arial"/>
        <family val="2"/>
        <scheme val="minor"/>
      </rPr>
      <t xml:space="preserve">
The mitigation measures and strategies defined in VE2.2-VE2.4 must be tested and evaluated as far as possible, taking into account the scope and intended use. 
This includes: 
– Testing and evaluating monitoring and logging (see also MA2.3 und TR1.7) 
with regard to the risks identified in VE2.1, particularly concerning erroneous inputs,
incorrect application environments, external changes, and extreme cases; 
– Testing fallback mechanisms, fail
– safe modes, and alarm systems defined in VE2.2; at a minimum, 
the possibility of connecting such systems to the AI system must be tested; 
– Where applicable, checking metrics and tests to mitigate the risk of malfunction 
or failure of the AI system, as defined in VE2.3; 
– Documenting all test results</t>
    </r>
  </si>
  <si>
    <r>
      <rPr>
        <b/>
        <sz val="8"/>
        <color rgb="FF000000"/>
        <rFont val="Arial"/>
        <family val="2"/>
        <scheme val="minor"/>
      </rPr>
      <t>Technical measure – test</t>
    </r>
    <r>
      <rPr>
        <sz val="8"/>
        <color rgb="FF000000"/>
        <rFont val="Arial"/>
        <family val="2"/>
        <scheme val="minor"/>
      </rPr>
      <t xml:space="preserve">
The mitigation measures and strategies defined in VE2.2-VE2.4 must be tested 
and evaluated as far as possible, taking into account the scope and intended use.
This includes: 
– Testing and evaluating monitoring and logging (see also MA2.3 und TR1.7) 
with regard to the risks identified in VE2.1, particularly concerning erroneous inputs, incorrect application environments, external changes, and extreme cases; 
– Where applicable, reviewing metrics and tests to mitigate the risk of malfunction
or failure of the AI system, as defined in VE2.3; 
– Documenting all test results</t>
    </r>
  </si>
  <si>
    <r>
      <rPr>
        <b/>
        <sz val="8"/>
        <color rgb="FF000000"/>
        <rFont val="Arial"/>
        <family val="2"/>
        <scheme val="minor"/>
      </rPr>
      <t>Technical measure – test</t>
    </r>
    <r>
      <rPr>
        <sz val="8"/>
        <color rgb="FF000000"/>
        <rFont val="Arial"/>
        <family val="2"/>
        <scheme val="minor"/>
      </rPr>
      <t xml:space="preserve">
The mitigation measures and strategies defined in VE2.2-VE2.4 must be tested 
and evaluated as far as possible, taking into account the scope and intended use. 
This includes:
– Evaluating monitoring and logging (see also MA2.3 und TR1.7) and the mitigation measures in VE2.2-VE2.4 with regard to the risks identified in VE2.1, particularly concerning erroneous inputs, incorrect application environments, external changes,
and extreme cases 
– Documenting all test results</t>
    </r>
  </si>
  <si>
    <t>https://creativecommons.org/licenses/by/4.0/deed.en</t>
  </si>
  <si>
    <t>Assessment Catalogue</t>
  </si>
  <si>
    <t>©acatech – National Academy of Science and Engineering. This work is licensed under a Creative Commons Attribution 4.0 International Licence (CC BY 4.0).</t>
  </si>
  <si>
    <t>The assessment catalogue forms the operational core of the MISSION KI quality standard and represents the central reference work for evaluating AI quality. It is structured according to the systematic VCIO structure (Value, Criterion, Indicator, Observable) and bundles the requirements into six different quality dimensions. With the help of concrete indicators and measurable observables, the catalog enables an objective assessment of the extent to which a system meets the required quality criteria. It thus forms the direct working basis for self-assessment or external validation and makes the trustworthiness of a low-risk AI system comparable and transparent.</t>
  </si>
  <si>
    <t>Foreword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</si>
</sst>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rial"/>
      <family val="2"/>
      <scheme val="minor"/>
    </font>
    <font>
      <sz val="8"/>
      <name val="Arial"/>
      <family val="2"/>
      <scheme val="minor"/>
    </font>
    <font>
      <b/>
      <sz val="24"/>
      <color theme="0"/>
      <name val="Avenir Next"/>
    </font>
    <font>
      <sz val="11"/>
      <color theme="1"/>
      <name val="Avenir Next"/>
    </font>
    <font>
      <b/>
      <sz val="10"/>
      <color theme="0"/>
      <name val="Avenir Next"/>
    </font>
    <font>
      <sz val="10"/>
      <color theme="1"/>
      <name val="Avenir Next"/>
    </font>
    <font>
      <sz val="8"/>
      <color theme="1"/>
      <name val="Avenir Next"/>
    </font>
    <font>
      <b/>
      <sz val="11"/>
      <color theme="1"/>
      <name val="Avenir Next"/>
    </font>
    <font>
      <strike/>
      <sz val="11"/>
      <color theme="1"/>
      <name val="Avenir Next"/>
    </font>
    <font>
      <b/>
      <sz val="36"/>
      <color theme="0"/>
      <name val="Avenir Next"/>
    </font>
    <font>
      <b/>
      <sz val="8"/>
      <color theme="1"/>
      <name val="Arial"/>
      <family val="2"/>
      <scheme val="minor"/>
    </font>
    <font>
      <sz val="8"/>
      <color theme="1"/>
      <name val="Arial"/>
      <family val="2"/>
      <scheme val="minor"/>
    </font>
    <font>
      <b/>
      <sz val="8"/>
      <color rgb="FF000000"/>
      <name val="Arial"/>
      <family val="2"/>
      <scheme val="minor"/>
    </font>
    <font>
      <sz val="8"/>
      <color rgb="FF000000"/>
      <name val="Arial"/>
      <family val="2"/>
      <scheme val="minor"/>
    </font>
    <font>
      <b/>
      <sz val="8"/>
      <name val="Arial"/>
      <family val="2"/>
      <scheme val="minor"/>
    </font>
    <font>
      <sz val="8"/>
      <color rgb="FFFF0000"/>
      <name val="Arial"/>
      <family val="2"/>
      <scheme val="minor"/>
    </font>
    <font>
      <strike/>
      <sz val="8"/>
      <color theme="1"/>
      <name val="Arial"/>
      <family val="2"/>
      <scheme val="minor"/>
    </font>
    <font>
      <sz val="10"/>
      <color theme="3"/>
      <name val="Avenir Next"/>
    </font>
    <font>
      <b/>
      <sz val="10"/>
      <color theme="3"/>
      <name val="Arial"/>
      <family val="2"/>
      <scheme val="minor"/>
    </font>
    <font>
      <sz val="14"/>
      <color theme="1"/>
      <name val="Avenir Next"/>
    </font>
    <font>
      <i/>
      <sz val="8"/>
      <color rgb="FFFF0000"/>
      <name val="Arial"/>
      <family val="2"/>
      <scheme val="minor"/>
    </font>
    <font>
      <b/>
      <sz val="14"/>
      <color theme="0"/>
      <name val="Arial"/>
      <family val="2"/>
      <scheme val="minor"/>
    </font>
    <font>
      <b/>
      <sz val="14"/>
      <color rgb="FFFFFFFF"/>
      <name val="Arial"/>
      <family val="2"/>
      <scheme val="minor"/>
    </font>
    <font>
      <sz val="10"/>
      <color theme="4"/>
      <name val="Avenir Next"/>
    </font>
    <font>
      <b/>
      <sz val="10"/>
      <color theme="4"/>
      <name val="Arial"/>
      <family val="2"/>
      <scheme val="minor"/>
    </font>
    <font>
      <b/>
      <sz val="8"/>
      <color theme="0"/>
      <name val="Arial"/>
      <family val="2"/>
      <scheme val="minor"/>
    </font>
    <font>
      <sz val="10"/>
      <color theme="3"/>
      <name val="Arial"/>
      <family val="2"/>
      <scheme val="minor"/>
    </font>
    <font>
      <sz val="10"/>
      <color theme="1"/>
      <name val="Arial"/>
      <family val="2"/>
      <scheme val="minor"/>
    </font>
    <font>
      <b/>
      <sz val="12"/>
      <color theme="1"/>
      <name val="Avenir Next"/>
    </font>
    <font>
      <sz val="12"/>
      <color theme="1"/>
      <name val="Avenir Next"/>
    </font>
    <font>
      <b/>
      <sz val="12"/>
      <color theme="3"/>
      <name val="Avenir Next"/>
    </font>
    <font>
      <b/>
      <sz val="14"/>
      <color theme="0"/>
      <name val="Avenir Next"/>
    </font>
    <font>
      <sz val="10"/>
      <color theme="1"/>
      <name val="Arial"/>
      <family val="2"/>
      <scheme val="major"/>
    </font>
    <font>
      <sz val="7"/>
      <color rgb="FF000000"/>
      <name val="Arial"/>
      <family val="2"/>
      <scheme val="minor"/>
    </font>
    <font>
      <b/>
      <sz val="7"/>
      <color rgb="FF000000"/>
      <name val="Arial"/>
      <family val="2"/>
      <scheme val="minor"/>
    </font>
    <font>
      <u/>
      <sz val="11"/>
      <color theme="10"/>
      <name val="Arial"/>
      <family val="2"/>
      <scheme val="minor"/>
    </font>
    <font>
      <b/>
      <sz val="30"/>
      <color theme="3"/>
      <name val="Arial"/>
      <family val="2"/>
      <scheme val="minor"/>
    </font>
  </fonts>
  <fills count="8">
    <fill>
      <patternFill patternType="none"/>
    </fill>
    <fill>
      <patternFill patternType="gray125"/>
    </fill>
    <fill>
      <patternFill patternType="solid">
        <fgColor theme="2"/>
        <bgColor indexed="64"/>
      </patternFill>
    </fill>
    <fill>
      <patternFill patternType="solid">
        <fgColor theme="1" tint="0.34998626667073579"/>
        <bgColor indexed="64"/>
      </patternFill>
    </fill>
    <fill>
      <patternFill patternType="solid">
        <fgColor theme="0"/>
        <bgColor indexed="64"/>
      </patternFill>
    </fill>
    <fill>
      <patternFill patternType="solid">
        <fgColor rgb="FF3C1D73"/>
        <bgColor indexed="64"/>
      </patternFill>
    </fill>
    <fill>
      <patternFill patternType="solid">
        <fgColor theme="5"/>
        <bgColor indexed="64"/>
      </patternFill>
    </fill>
    <fill>
      <patternFill patternType="solid">
        <fgColor theme="3"/>
        <bgColor indexed="64"/>
      </patternFill>
    </fill>
  </fills>
  <borders count="13">
    <border>
      <left/>
      <right/>
      <top/>
      <bottom/>
      <diagonal/>
    </border>
    <border>
      <left/>
      <right style="thin">
        <color indexed="64"/>
      </right>
      <top/>
      <bottom/>
      <diagonal/>
    </border>
    <border>
      <left style="thin">
        <color theme="5"/>
      </left>
      <right style="thin">
        <color theme="5"/>
      </right>
      <top style="thin">
        <color theme="5"/>
      </top>
      <bottom style="thin">
        <color theme="5"/>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5"/>
      </left>
      <right style="thin">
        <color theme="5"/>
      </right>
      <top/>
      <bottom style="thin">
        <color theme="5"/>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2">
    <xf numFmtId="0" fontId="0" fillId="0" borderId="0"/>
    <xf numFmtId="0" fontId="35" fillId="0" borderId="0" applyNumberFormat="0" applyFill="0" applyBorder="0" applyAlignment="0" applyProtection="0"/>
  </cellStyleXfs>
  <cellXfs count="97">
    <xf numFmtId="0" fontId="0" fillId="0" borderId="0" xfId="0"/>
    <xf numFmtId="0" fontId="2" fillId="5" borderId="0" xfId="0" applyFont="1" applyFill="1" applyAlignment="1">
      <alignment horizontal="center" vertical="center"/>
    </xf>
    <xf numFmtId="0" fontId="2" fillId="5" borderId="1" xfId="0" applyFont="1" applyFill="1" applyBorder="1" applyAlignment="1">
      <alignment horizontal="center" vertical="center"/>
    </xf>
    <xf numFmtId="0" fontId="3" fillId="0" borderId="0" xfId="0" applyFont="1"/>
    <xf numFmtId="0" fontId="5" fillId="0" borderId="0" xfId="0" applyFont="1"/>
    <xf numFmtId="0" fontId="6" fillId="0" borderId="0" xfId="0" applyFont="1" applyAlignment="1">
      <alignment horizontal="center" vertical="center"/>
    </xf>
    <xf numFmtId="0" fontId="6" fillId="0" borderId="0" xfId="0" applyFont="1"/>
    <xf numFmtId="0" fontId="6" fillId="0" borderId="0" xfId="0" applyFont="1" applyAlignment="1">
      <alignment vertical="center"/>
    </xf>
    <xf numFmtId="0" fontId="3" fillId="0" borderId="0" xfId="0" applyFont="1" applyAlignment="1">
      <alignment vertical="center"/>
    </xf>
    <xf numFmtId="0" fontId="4" fillId="5" borderId="0" xfId="0" applyFont="1" applyFill="1" applyAlignment="1">
      <alignment horizontal="center" vertical="center"/>
    </xf>
    <xf numFmtId="0" fontId="4" fillId="5" borderId="1" xfId="0" applyFont="1" applyFill="1" applyBorder="1" applyAlignment="1">
      <alignment horizontal="center" vertical="center"/>
    </xf>
    <xf numFmtId="0" fontId="7" fillId="0" borderId="0" xfId="0" applyFont="1"/>
    <xf numFmtId="0" fontId="3" fillId="4" borderId="0" xfId="0" applyFont="1" applyFill="1"/>
    <xf numFmtId="0" fontId="9" fillId="4" borderId="0" xfId="0" applyFont="1" applyFill="1" applyAlignment="1">
      <alignment horizontal="center" vertical="center"/>
    </xf>
    <xf numFmtId="0" fontId="7" fillId="4" borderId="0" xfId="0" applyFont="1" applyFill="1" applyAlignment="1">
      <alignment vertical="center"/>
    </xf>
    <xf numFmtId="0" fontId="7" fillId="0" borderId="0" xfId="0" applyFont="1" applyAlignment="1">
      <alignment vertical="center"/>
    </xf>
    <xf numFmtId="0" fontId="7" fillId="4" borderId="0" xfId="0" applyFont="1" applyFill="1" applyAlignment="1">
      <alignment vertical="top"/>
    </xf>
    <xf numFmtId="0" fontId="18" fillId="6" borderId="2" xfId="0" applyFont="1" applyFill="1" applyBorder="1" applyAlignment="1">
      <alignment horizontal="left" vertical="center"/>
    </xf>
    <xf numFmtId="0" fontId="18" fillId="2" borderId="2" xfId="0" applyFont="1" applyFill="1" applyBorder="1" applyAlignment="1">
      <alignment horizontal="left" vertical="center" wrapText="1"/>
    </xf>
    <xf numFmtId="0" fontId="3" fillId="0" borderId="4" xfId="0" applyFont="1" applyBorder="1"/>
    <xf numFmtId="0" fontId="2" fillId="0" borderId="0" xfId="0" applyFont="1" applyAlignment="1">
      <alignment horizontal="center" vertical="center"/>
    </xf>
    <xf numFmtId="0" fontId="2" fillId="0" borderId="1" xfId="0" applyFont="1" applyBorder="1" applyAlignment="1">
      <alignment horizontal="center" vertical="center"/>
    </xf>
    <xf numFmtId="0" fontId="17" fillId="0" borderId="0" xfId="0" applyFont="1"/>
    <xf numFmtId="0" fontId="5" fillId="0" borderId="0" xfId="0" applyFont="1" applyAlignment="1">
      <alignment vertical="center"/>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11" fillId="0" borderId="2" xfId="0" applyFont="1" applyBorder="1" applyAlignment="1">
      <alignment horizontal="left" vertical="top" wrapText="1"/>
    </xf>
    <xf numFmtId="0" fontId="15" fillId="0" borderId="2" xfId="0" applyFont="1" applyBorder="1" applyAlignment="1">
      <alignment horizontal="left" vertical="top"/>
    </xf>
    <xf numFmtId="0" fontId="11" fillId="0" borderId="2" xfId="0" applyFont="1" applyBorder="1" applyAlignment="1">
      <alignment horizontal="left" vertical="top"/>
    </xf>
    <xf numFmtId="0" fontId="17" fillId="0" borderId="0" xfId="0" applyFont="1" applyAlignment="1">
      <alignment vertical="center"/>
    </xf>
    <xf numFmtId="0" fontId="3" fillId="0" borderId="0" xfId="0" applyFont="1" applyAlignment="1">
      <alignment horizontal="left" vertical="top"/>
    </xf>
    <xf numFmtId="0" fontId="8" fillId="0" borderId="0" xfId="0" applyFont="1"/>
    <xf numFmtId="0" fontId="1" fillId="0" borderId="2" xfId="0" applyFont="1" applyBorder="1" applyAlignment="1">
      <alignment horizontal="left" vertical="top" wrapText="1"/>
    </xf>
    <xf numFmtId="0" fontId="16" fillId="0" borderId="2" xfId="0" applyFont="1" applyBorder="1" applyAlignment="1">
      <alignment horizontal="left" vertical="top" wrapText="1"/>
    </xf>
    <xf numFmtId="0" fontId="19" fillId="0" borderId="0" xfId="0" applyFont="1" applyAlignment="1">
      <alignment horizontal="left"/>
    </xf>
    <xf numFmtId="0" fontId="10" fillId="0" borderId="2" xfId="0" applyFont="1" applyBorder="1" applyAlignment="1">
      <alignment horizontal="left" vertical="top" wrapText="1"/>
    </xf>
    <xf numFmtId="0" fontId="18" fillId="2" borderId="2" xfId="0" applyFont="1" applyFill="1" applyBorder="1" applyAlignment="1">
      <alignment horizontal="left" vertical="center"/>
    </xf>
    <xf numFmtId="0" fontId="17" fillId="0" borderId="0" xfId="0" applyFont="1" applyAlignment="1">
      <alignment horizontal="left" vertical="center"/>
    </xf>
    <xf numFmtId="0" fontId="6" fillId="0" borderId="0" xfId="0" applyFont="1" applyAlignment="1">
      <alignment horizontal="left" vertical="top"/>
    </xf>
    <xf numFmtId="0" fontId="3" fillId="0" borderId="0" xfId="0" applyFont="1" applyAlignment="1">
      <alignment vertical="top" wrapText="1"/>
    </xf>
    <xf numFmtId="0" fontId="11" fillId="0" borderId="2" xfId="0" applyFont="1" applyBorder="1" applyAlignment="1">
      <alignment vertical="top" wrapText="1"/>
    </xf>
    <xf numFmtId="0" fontId="13" fillId="0" borderId="2" xfId="0" applyFont="1" applyBorder="1" applyAlignment="1">
      <alignment vertical="top" wrapText="1"/>
    </xf>
    <xf numFmtId="0" fontId="11" fillId="0" borderId="2" xfId="0" applyFont="1" applyBorder="1" applyAlignment="1">
      <alignment vertical="top"/>
    </xf>
    <xf numFmtId="0" fontId="15" fillId="0" borderId="2" xfId="0" applyFont="1" applyBorder="1" applyAlignment="1">
      <alignment vertical="top"/>
    </xf>
    <xf numFmtId="0" fontId="18" fillId="6" borderId="2" xfId="0" applyFont="1" applyFill="1" applyBorder="1" applyAlignment="1">
      <alignment vertical="center"/>
    </xf>
    <xf numFmtId="0" fontId="18" fillId="2" borderId="2" xfId="0" applyFont="1" applyFill="1" applyBorder="1" applyAlignment="1">
      <alignment vertical="center" wrapText="1"/>
    </xf>
    <xf numFmtId="0" fontId="23" fillId="0" borderId="0" xfId="0" applyFont="1" applyAlignment="1">
      <alignment vertical="center"/>
    </xf>
    <xf numFmtId="0" fontId="1" fillId="0" borderId="2" xfId="0" applyFont="1" applyBorder="1" applyAlignment="1">
      <alignment vertical="top" wrapText="1"/>
    </xf>
    <xf numFmtId="0" fontId="1" fillId="0" borderId="2" xfId="0" applyFont="1" applyBorder="1" applyAlignment="1">
      <alignment vertical="top"/>
    </xf>
    <xf numFmtId="0" fontId="20" fillId="0" borderId="2" xfId="0" applyFont="1" applyBorder="1" applyAlignment="1">
      <alignment vertical="top" wrapText="1"/>
    </xf>
    <xf numFmtId="0" fontId="24" fillId="6" borderId="2" xfId="0" applyFont="1" applyFill="1" applyBorder="1" applyAlignment="1">
      <alignment vertical="center"/>
    </xf>
    <xf numFmtId="0" fontId="24" fillId="2" borderId="2" xfId="0" applyFont="1" applyFill="1" applyBorder="1" applyAlignment="1">
      <alignment vertical="center" wrapText="1"/>
    </xf>
    <xf numFmtId="0" fontId="11" fillId="0" borderId="0" xfId="0" applyFont="1"/>
    <xf numFmtId="0" fontId="25"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xf>
    <xf numFmtId="0" fontId="26" fillId="0" borderId="0" xfId="0" applyFont="1" applyAlignment="1">
      <alignment horizontal="left" vertical="center"/>
    </xf>
    <xf numFmtId="0" fontId="11" fillId="4" borderId="0" xfId="0" applyFont="1" applyFill="1" applyAlignment="1">
      <alignment horizontal="left" vertical="center"/>
    </xf>
    <xf numFmtId="0" fontId="11" fillId="0" borderId="0" xfId="0" applyFont="1" applyAlignment="1">
      <alignment horizontal="left" vertical="center"/>
    </xf>
    <xf numFmtId="0" fontId="25" fillId="5" borderId="0" xfId="0" applyFont="1" applyFill="1" applyAlignment="1">
      <alignment horizontal="left" vertical="center"/>
    </xf>
    <xf numFmtId="0" fontId="25" fillId="5" borderId="1" xfId="0" applyFont="1" applyFill="1" applyBorder="1" applyAlignment="1">
      <alignment horizontal="left" vertical="center"/>
    </xf>
    <xf numFmtId="0" fontId="27" fillId="4" borderId="0" xfId="0" applyFont="1" applyFill="1" applyAlignment="1">
      <alignment horizontal="left" vertical="center"/>
    </xf>
    <xf numFmtId="0" fontId="27" fillId="0" borderId="0" xfId="0" applyFont="1" applyAlignment="1">
      <alignment horizontal="left" vertical="center"/>
    </xf>
    <xf numFmtId="0" fontId="26" fillId="4" borderId="0" xfId="0" applyFont="1" applyFill="1" applyAlignment="1">
      <alignment horizontal="left" vertical="center"/>
    </xf>
    <xf numFmtId="0" fontId="15" fillId="0" borderId="2" xfId="0" applyFont="1" applyBorder="1" applyAlignment="1">
      <alignment horizontal="left" vertical="top" wrapText="1"/>
    </xf>
    <xf numFmtId="0" fontId="30" fillId="2" borderId="2" xfId="0" applyFont="1" applyFill="1" applyBorder="1" applyAlignment="1">
      <alignment horizontal="left" vertical="center"/>
    </xf>
    <xf numFmtId="0" fontId="29" fillId="0" borderId="2" xfId="0" applyFont="1" applyBorder="1" applyAlignment="1">
      <alignment horizontal="left" vertical="top"/>
    </xf>
    <xf numFmtId="0" fontId="30" fillId="6" borderId="6" xfId="0" applyFont="1" applyFill="1" applyBorder="1" applyAlignment="1">
      <alignment horizontal="left"/>
    </xf>
    <xf numFmtId="0" fontId="1" fillId="2" borderId="2"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2" xfId="0" applyFont="1" applyFill="1" applyBorder="1" applyAlignment="1">
      <alignment vertical="top" wrapText="1"/>
    </xf>
    <xf numFmtId="0" fontId="13" fillId="2" borderId="2" xfId="0" applyFont="1" applyFill="1" applyBorder="1" applyAlignment="1">
      <alignment horizontal="left" vertical="top" wrapText="1"/>
    </xf>
    <xf numFmtId="0" fontId="5" fillId="4" borderId="0" xfId="0" applyFont="1" applyFill="1"/>
    <xf numFmtId="0" fontId="32" fillId="4" borderId="0" xfId="0" applyFont="1" applyFill="1"/>
    <xf numFmtId="0" fontId="33" fillId="0" borderId="2" xfId="0" applyFont="1" applyBorder="1" applyAlignment="1">
      <alignment vertical="top" wrapText="1"/>
    </xf>
    <xf numFmtId="0" fontId="35" fillId="0" borderId="0" xfId="1"/>
    <xf numFmtId="0" fontId="28" fillId="0" borderId="2" xfId="0" applyFont="1" applyBorder="1" applyAlignment="1">
      <alignment horizontal="left" vertical="top"/>
    </xf>
    <xf numFmtId="0" fontId="31" fillId="7" borderId="7" xfId="0" applyFont="1" applyFill="1" applyBorder="1" applyAlignment="1">
      <alignment horizontal="left" vertical="center"/>
    </xf>
    <xf numFmtId="0" fontId="31" fillId="7" borderId="8" xfId="0" applyFont="1" applyFill="1" applyBorder="1" applyAlignment="1">
      <alignment horizontal="left" vertical="center"/>
    </xf>
    <xf numFmtId="0" fontId="31" fillId="7" borderId="9" xfId="0" applyFont="1" applyFill="1" applyBorder="1" applyAlignment="1">
      <alignment horizontal="left" vertical="center"/>
    </xf>
    <xf numFmtId="0" fontId="31" fillId="7" borderId="10" xfId="0" applyFont="1" applyFill="1" applyBorder="1" applyAlignment="1">
      <alignment horizontal="left" vertical="center"/>
    </xf>
    <xf numFmtId="0" fontId="31" fillId="7" borderId="11" xfId="0" applyFont="1" applyFill="1" applyBorder="1" applyAlignment="1">
      <alignment horizontal="left" vertical="center"/>
    </xf>
    <xf numFmtId="0" fontId="31" fillId="7" borderId="12" xfId="0" applyFont="1" applyFill="1" applyBorder="1" applyAlignment="1">
      <alignment horizontal="left" vertical="center"/>
    </xf>
    <xf numFmtId="0" fontId="22" fillId="7" borderId="3" xfId="0" applyFont="1" applyFill="1" applyBorder="1" applyAlignment="1">
      <alignment horizontal="left" vertical="center"/>
    </xf>
    <xf numFmtId="0" fontId="22" fillId="7" borderId="4" xfId="0" applyFont="1" applyFill="1" applyBorder="1" applyAlignment="1">
      <alignment horizontal="left" vertical="center"/>
    </xf>
    <xf numFmtId="0" fontId="11" fillId="0" borderId="2" xfId="0" applyFont="1" applyBorder="1" applyAlignment="1">
      <alignment horizontal="center" vertical="center" wrapText="1"/>
    </xf>
    <xf numFmtId="0" fontId="21" fillId="5" borderId="3" xfId="0" applyFont="1" applyFill="1" applyBorder="1" applyAlignment="1">
      <alignment horizontal="left" vertical="center"/>
    </xf>
    <xf numFmtId="0" fontId="21" fillId="5" borderId="4" xfId="0" applyFont="1" applyFill="1" applyBorder="1" applyAlignment="1">
      <alignment horizontal="left" vertical="center"/>
    </xf>
    <xf numFmtId="0" fontId="21" fillId="5" borderId="5" xfId="0" applyFont="1" applyFill="1" applyBorder="1" applyAlignment="1">
      <alignment horizontal="left" vertical="center"/>
    </xf>
    <xf numFmtId="0" fontId="21" fillId="7" borderId="3" xfId="0" applyFont="1" applyFill="1" applyBorder="1" applyAlignment="1">
      <alignment horizontal="left" vertical="center"/>
    </xf>
    <xf numFmtId="0" fontId="21" fillId="7" borderId="4" xfId="0" applyFont="1" applyFill="1" applyBorder="1" applyAlignment="1">
      <alignment horizontal="left" vertical="center"/>
    </xf>
    <xf numFmtId="0" fontId="21" fillId="7" borderId="5" xfId="0" applyFont="1" applyFill="1" applyBorder="1" applyAlignment="1">
      <alignment horizontal="left" vertical="center"/>
    </xf>
    <xf numFmtId="0" fontId="1" fillId="0" borderId="2" xfId="0" applyFont="1" applyBorder="1" applyAlignment="1">
      <alignment horizontal="center" vertical="center" wrapText="1"/>
    </xf>
    <xf numFmtId="0" fontId="2" fillId="3" borderId="0" xfId="0" applyFont="1" applyFill="1" applyAlignment="1">
      <alignment horizontal="left" vertical="center"/>
    </xf>
    <xf numFmtId="0" fontId="0" fillId="6" borderId="0" xfId="0" applyFill="1"/>
    <xf numFmtId="0" fontId="36" fillId="4" borderId="0" xfId="0" applyFont="1" applyFill="1" applyAlignment="1">
      <alignment vertical="center"/>
    </xf>
    <xf numFmtId="0" fontId="3" fillId="4" borderId="0" xfId="0" applyFont="1" applyFill="1" applyAlignment="1">
      <alignment horizontal="left" vertical="top" wrapText="1"/>
    </xf>
  </cellXfs>
  <cellStyles count="2">
    <cellStyle name="Hyperlink" xfId="1" builtinId="8"/>
    <cellStyle name="Normal" xfId="0" builtinId="0"/>
  </cellStyles>
  <dxfs count="179">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DBD7F5"/>
      <color rgb="FF7F50D3"/>
      <color rgb="FF3C1D73"/>
      <color rgb="FF1E0E3A"/>
      <color rgb="FF5529A3"/>
      <color rgb="FF948F0E"/>
      <color rgb="FFE7FDF7"/>
      <color rgb="FFAFFAE6"/>
      <color rgb="FFD2C2F0"/>
      <color rgb="FFB79D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546100</xdr:colOff>
      <xdr:row>2</xdr:row>
      <xdr:rowOff>254000</xdr:rowOff>
    </xdr:from>
    <xdr:to>
      <xdr:col>13</xdr:col>
      <xdr:colOff>1130300</xdr:colOff>
      <xdr:row>4</xdr:row>
      <xdr:rowOff>13335</xdr:rowOff>
    </xdr:to>
    <xdr:pic>
      <xdr:nvPicPr>
        <xdr:cNvPr id="2" name="Picture 1">
          <a:extLst>
            <a:ext uri="{FF2B5EF4-FFF2-40B4-BE49-F238E27FC236}">
              <a16:creationId xmlns:a16="http://schemas.microsoft.com/office/drawing/2014/main" id="{1736A716-B7A5-29FB-BDAB-83972EA9D1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25650" y="615950"/>
          <a:ext cx="1765300" cy="673735"/>
        </a:xfrm>
        <a:prstGeom prst="rect">
          <a:avLst/>
        </a:prstGeom>
        <a:noFill/>
        <a:ln>
          <a:noFill/>
        </a:ln>
      </xdr:spPr>
    </xdr:pic>
    <xdr:clientData/>
  </xdr:twoCellAnchor>
</xdr:wsDr>
</file>

<file path=xl/theme/theme1.xml><?xml version="1.0" encoding="utf-8"?>
<a:theme xmlns:a="http://schemas.openxmlformats.org/drawingml/2006/main" name="Office 2013 – 2022-Design">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4.0/deed.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22EF-1DC5-4C1A-A8C7-59AB06FEB6D0}">
  <dimension ref="A1:FQ258"/>
  <sheetViews>
    <sheetView tabSelected="1" topLeftCell="A6" zoomScale="70" zoomScaleNormal="70" workbookViewId="0">
      <selection activeCell="B22" sqref="B22"/>
    </sheetView>
  </sheetViews>
  <sheetFormatPr defaultColWidth="9" defaultRowHeight="14"/>
  <cols>
    <col min="1" max="1" width="5" style="3" customWidth="1"/>
    <col min="2" max="2" width="26.75" style="3" customWidth="1"/>
    <col min="3" max="4" width="14.25" style="3" customWidth="1"/>
    <col min="5" max="5" width="14.58203125" style="3" customWidth="1"/>
    <col min="6" max="6" width="18.25" style="3" customWidth="1"/>
    <col min="7" max="14" width="15.5" style="3" customWidth="1"/>
    <col min="15" max="15" width="5" style="12" customWidth="1"/>
    <col min="16" max="173" width="9" style="12"/>
    <col min="174" max="16384" width="9" style="3"/>
  </cols>
  <sheetData>
    <row r="1" spans="1:173" s="94" customFormat="1"/>
    <row r="2" spans="1:173" s="12" customFormat="1" ht="14.5" customHeight="1">
      <c r="B2" s="13"/>
      <c r="C2" s="13"/>
      <c r="D2" s="13"/>
      <c r="E2" s="13"/>
      <c r="F2" s="13"/>
      <c r="G2" s="13"/>
      <c r="H2" s="13"/>
      <c r="I2" s="13"/>
      <c r="J2" s="13"/>
      <c r="K2" s="13"/>
      <c r="L2" s="13"/>
      <c r="M2" s="13"/>
      <c r="N2" s="13"/>
    </row>
    <row r="3" spans="1:173" s="12" customFormat="1" ht="57.5" customHeight="1">
      <c r="B3" s="95" t="s">
        <v>489</v>
      </c>
      <c r="C3" s="13"/>
      <c r="D3" s="13"/>
      <c r="E3" s="13"/>
      <c r="F3" s="13"/>
      <c r="G3" s="13"/>
      <c r="H3" s="13"/>
      <c r="I3" s="13"/>
      <c r="J3" s="13"/>
      <c r="K3" s="13"/>
      <c r="L3" s="13"/>
      <c r="M3" s="13"/>
      <c r="N3" s="13"/>
    </row>
    <row r="4" spans="1:173" s="12" customFormat="1" ht="14.5" customHeight="1">
      <c r="B4" s="13"/>
      <c r="C4" s="13"/>
      <c r="D4" s="13"/>
      <c r="E4" s="13"/>
      <c r="F4" s="13"/>
      <c r="G4" s="13"/>
      <c r="H4" s="13"/>
      <c r="I4" s="13"/>
      <c r="J4" s="13"/>
      <c r="K4" s="13"/>
      <c r="L4" s="13"/>
      <c r="M4" s="13"/>
      <c r="N4" s="13"/>
    </row>
    <row r="5" spans="1:173" s="12" customFormat="1" ht="14.5" customHeight="1">
      <c r="B5" s="13"/>
      <c r="C5" s="13"/>
      <c r="D5" s="13"/>
      <c r="E5" s="13"/>
      <c r="F5" s="13"/>
      <c r="G5" s="13"/>
      <c r="H5" s="13"/>
      <c r="I5" s="13"/>
      <c r="J5" s="13"/>
      <c r="K5" s="13"/>
      <c r="L5" s="13"/>
      <c r="M5" s="13"/>
      <c r="N5" s="13"/>
    </row>
    <row r="6" spans="1:173" s="12" customFormat="1" ht="14.5" customHeight="1">
      <c r="B6" s="13"/>
      <c r="C6" s="13"/>
      <c r="D6" s="13"/>
      <c r="E6" s="13"/>
      <c r="F6" s="13"/>
      <c r="G6" s="13"/>
      <c r="H6" s="13"/>
      <c r="I6" s="13"/>
      <c r="J6" s="13"/>
      <c r="K6" s="13"/>
      <c r="L6" s="13"/>
      <c r="M6" s="13"/>
      <c r="N6" s="13"/>
    </row>
    <row r="7" spans="1:173">
      <c r="A7" s="12"/>
      <c r="B7" s="77" t="s">
        <v>0</v>
      </c>
      <c r="C7" s="78"/>
      <c r="D7" s="78"/>
      <c r="E7" s="78"/>
      <c r="F7" s="78"/>
      <c r="G7" s="78"/>
      <c r="H7" s="78"/>
      <c r="I7" s="78"/>
      <c r="J7" s="78"/>
      <c r="K7" s="78"/>
      <c r="L7" s="78"/>
      <c r="M7" s="78"/>
      <c r="N7" s="79"/>
    </row>
    <row r="8" spans="1:173">
      <c r="A8" s="12"/>
      <c r="B8" s="80"/>
      <c r="C8" s="81"/>
      <c r="D8" s="81"/>
      <c r="E8" s="81"/>
      <c r="F8" s="81"/>
      <c r="G8" s="81"/>
      <c r="H8" s="81"/>
      <c r="I8" s="81"/>
      <c r="J8" s="81"/>
      <c r="K8" s="81"/>
      <c r="L8" s="81"/>
      <c r="M8" s="81"/>
      <c r="N8" s="82"/>
    </row>
    <row r="9" spans="1:173" s="15" customFormat="1" ht="36" customHeight="1">
      <c r="A9" s="14"/>
      <c r="B9" s="67" t="s">
        <v>119</v>
      </c>
      <c r="C9" s="67" t="str">
        <f>HYPERLINK("#'Data quality'!A1", "Data quality, protection and governance")</f>
        <v>Data quality, protection and governance</v>
      </c>
      <c r="D9" s="67"/>
      <c r="E9" s="67"/>
      <c r="F9" s="67" t="str">
        <f>HYPERLINK("#'Non-discrimination'!A1", "Non-
discrimination")</f>
        <v>Non-
discrimination</v>
      </c>
      <c r="G9" s="67" t="str">
        <f>HYPERLINK("#'Transparency'!A1", "Transparency")</f>
        <v>Transparency</v>
      </c>
      <c r="H9" s="67"/>
      <c r="I9" s="67" t="str">
        <f>HYPERLINK("#'Human oversight and control'!A1", "Human oversight and control")</f>
        <v>Human oversight and control</v>
      </c>
      <c r="J9" s="67"/>
      <c r="K9" s="67" t="str">
        <f>HYPERLINK("#'Reliability'!A1", "Reliability")</f>
        <v>Reliability</v>
      </c>
      <c r="L9" s="67"/>
      <c r="M9" s="67" t="str">
        <f>HYPERLINK("#'Cybersecurity'!A1", "AI-specific cybersecurity")</f>
        <v>AI-specific cybersecurity</v>
      </c>
      <c r="N9" s="67"/>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row>
    <row r="10" spans="1:173" ht="25.5" customHeight="1">
      <c r="A10" s="12"/>
      <c r="B10" s="65" t="s">
        <v>118</v>
      </c>
      <c r="C10" s="65" t="s">
        <v>1</v>
      </c>
      <c r="D10" s="65" t="s">
        <v>2</v>
      </c>
      <c r="E10" s="65" t="s">
        <v>3</v>
      </c>
      <c r="F10" s="65" t="s">
        <v>4</v>
      </c>
      <c r="G10" s="65" t="s">
        <v>5</v>
      </c>
      <c r="H10" s="65" t="s">
        <v>6</v>
      </c>
      <c r="I10" s="65" t="s">
        <v>7</v>
      </c>
      <c r="J10" s="65" t="s">
        <v>8</v>
      </c>
      <c r="K10" s="65" t="s">
        <v>9</v>
      </c>
      <c r="L10" s="65" t="s">
        <v>10</v>
      </c>
      <c r="M10" s="65" t="s">
        <v>11</v>
      </c>
      <c r="N10" s="65" t="s">
        <v>12</v>
      </c>
      <c r="FI10" s="3"/>
      <c r="FJ10" s="3"/>
      <c r="FK10" s="3"/>
      <c r="FL10" s="3"/>
      <c r="FM10" s="3"/>
      <c r="FN10" s="3"/>
      <c r="FO10" s="3"/>
      <c r="FP10" s="3"/>
      <c r="FQ10" s="3"/>
    </row>
    <row r="11" spans="1:173" ht="16" customHeight="1">
      <c r="A11" s="12"/>
      <c r="B11" s="76" t="s">
        <v>117</v>
      </c>
      <c r="C11" s="66" t="s">
        <v>13</v>
      </c>
      <c r="D11" s="66" t="s">
        <v>14</v>
      </c>
      <c r="E11" s="66" t="s">
        <v>15</v>
      </c>
      <c r="F11" s="66" t="s">
        <v>16</v>
      </c>
      <c r="G11" s="66" t="s">
        <v>17</v>
      </c>
      <c r="H11" s="66" t="s">
        <v>18</v>
      </c>
      <c r="I11" s="66" t="s">
        <v>19</v>
      </c>
      <c r="J11" s="66" t="s">
        <v>20</v>
      </c>
      <c r="K11" s="66" t="s">
        <v>21</v>
      </c>
      <c r="L11" s="66" t="s">
        <v>22</v>
      </c>
      <c r="M11" s="66" t="s">
        <v>23</v>
      </c>
      <c r="N11" s="66" t="s">
        <v>24</v>
      </c>
      <c r="FI11" s="3"/>
      <c r="FJ11" s="3"/>
      <c r="FK11" s="3"/>
      <c r="FL11" s="3"/>
      <c r="FM11" s="3"/>
      <c r="FN11" s="3"/>
      <c r="FO11" s="3"/>
      <c r="FP11" s="3"/>
      <c r="FQ11" s="3"/>
    </row>
    <row r="12" spans="1:173" ht="16" customHeight="1">
      <c r="A12" s="12"/>
      <c r="B12" s="76"/>
      <c r="C12" s="66" t="s">
        <v>25</v>
      </c>
      <c r="D12" s="66" t="s">
        <v>26</v>
      </c>
      <c r="E12" s="66" t="s">
        <v>27</v>
      </c>
      <c r="F12" s="66" t="s">
        <v>28</v>
      </c>
      <c r="G12" s="66" t="s">
        <v>29</v>
      </c>
      <c r="H12" s="66" t="s">
        <v>30</v>
      </c>
      <c r="I12" s="66" t="s">
        <v>31</v>
      </c>
      <c r="J12" s="66" t="s">
        <v>32</v>
      </c>
      <c r="K12" s="66" t="s">
        <v>33</v>
      </c>
      <c r="L12" s="66" t="s">
        <v>34</v>
      </c>
      <c r="M12" s="66" t="s">
        <v>35</v>
      </c>
      <c r="N12" s="66" t="s">
        <v>36</v>
      </c>
      <c r="FI12" s="3"/>
      <c r="FJ12" s="3"/>
      <c r="FK12" s="3"/>
      <c r="FL12" s="3"/>
      <c r="FM12" s="3"/>
      <c r="FN12" s="3"/>
      <c r="FO12" s="3"/>
      <c r="FP12" s="3"/>
      <c r="FQ12" s="3"/>
    </row>
    <row r="13" spans="1:173" ht="16" customHeight="1">
      <c r="A13" s="12"/>
      <c r="B13" s="76"/>
      <c r="C13" s="66" t="s">
        <v>37</v>
      </c>
      <c r="D13" s="66" t="s">
        <v>38</v>
      </c>
      <c r="E13" s="66" t="s">
        <v>39</v>
      </c>
      <c r="F13" s="66" t="s">
        <v>40</v>
      </c>
      <c r="G13" s="66" t="s">
        <v>41</v>
      </c>
      <c r="H13" s="66" t="s">
        <v>42</v>
      </c>
      <c r="I13" s="66" t="s">
        <v>43</v>
      </c>
      <c r="J13" s="66" t="s">
        <v>44</v>
      </c>
      <c r="K13" s="66" t="s">
        <v>45</v>
      </c>
      <c r="L13" s="66" t="s">
        <v>46</v>
      </c>
      <c r="M13" s="66" t="s">
        <v>47</v>
      </c>
      <c r="N13" s="66" t="s">
        <v>48</v>
      </c>
      <c r="FI13" s="3"/>
      <c r="FJ13" s="3"/>
      <c r="FK13" s="3"/>
      <c r="FL13" s="3"/>
      <c r="FM13" s="3"/>
      <c r="FN13" s="3"/>
      <c r="FO13" s="3"/>
      <c r="FP13" s="3"/>
      <c r="FQ13" s="3"/>
    </row>
    <row r="14" spans="1:173" ht="16" customHeight="1">
      <c r="A14" s="12"/>
      <c r="B14" s="76"/>
      <c r="C14" s="66" t="s">
        <v>49</v>
      </c>
      <c r="D14" s="66" t="s">
        <v>50</v>
      </c>
      <c r="E14" s="66" t="s">
        <v>51</v>
      </c>
      <c r="F14" s="66" t="s">
        <v>52</v>
      </c>
      <c r="G14" s="66" t="s">
        <v>53</v>
      </c>
      <c r="H14" s="66" t="s">
        <v>54</v>
      </c>
      <c r="I14" s="66" t="s">
        <v>55</v>
      </c>
      <c r="J14" s="66" t="s">
        <v>56</v>
      </c>
      <c r="K14" s="66" t="s">
        <v>57</v>
      </c>
      <c r="L14" s="66" t="s">
        <v>58</v>
      </c>
      <c r="M14" s="66" t="s">
        <v>59</v>
      </c>
      <c r="N14" s="66" t="s">
        <v>60</v>
      </c>
      <c r="FI14" s="3"/>
      <c r="FJ14" s="3"/>
      <c r="FK14" s="3"/>
      <c r="FL14" s="3"/>
      <c r="FM14" s="3"/>
      <c r="FN14" s="3"/>
      <c r="FO14" s="3"/>
      <c r="FP14" s="3"/>
      <c r="FQ14" s="3"/>
    </row>
    <row r="15" spans="1:173" ht="16" customHeight="1">
      <c r="A15" s="12"/>
      <c r="B15" s="76"/>
      <c r="C15" s="66" t="s">
        <v>61</v>
      </c>
      <c r="D15" s="66" t="s">
        <v>62</v>
      </c>
      <c r="E15" s="66" t="s">
        <v>63</v>
      </c>
      <c r="F15" s="66" t="s">
        <v>64</v>
      </c>
      <c r="G15" s="66" t="s">
        <v>65</v>
      </c>
      <c r="H15" s="66"/>
      <c r="I15" s="66" t="s">
        <v>66</v>
      </c>
      <c r="J15" s="66" t="s">
        <v>67</v>
      </c>
      <c r="K15" s="66" t="s">
        <v>68</v>
      </c>
      <c r="L15" s="66" t="s">
        <v>69</v>
      </c>
      <c r="M15" s="66" t="s">
        <v>70</v>
      </c>
      <c r="N15" s="66"/>
      <c r="FI15" s="3"/>
      <c r="FJ15" s="3"/>
      <c r="FK15" s="3"/>
      <c r="FL15" s="3"/>
      <c r="FM15" s="3"/>
      <c r="FN15" s="3"/>
      <c r="FO15" s="3"/>
      <c r="FP15" s="3"/>
      <c r="FQ15" s="3"/>
    </row>
    <row r="16" spans="1:173" ht="16" customHeight="1">
      <c r="A16" s="12"/>
      <c r="B16" s="76"/>
      <c r="C16" s="66"/>
      <c r="D16" s="66" t="s">
        <v>71</v>
      </c>
      <c r="E16" s="66" t="s">
        <v>72</v>
      </c>
      <c r="F16" s="66" t="s">
        <v>73</v>
      </c>
      <c r="G16" s="66" t="s">
        <v>74</v>
      </c>
      <c r="H16" s="66"/>
      <c r="I16" s="66" t="s">
        <v>75</v>
      </c>
      <c r="J16" s="66"/>
      <c r="K16" s="66" t="s">
        <v>76</v>
      </c>
      <c r="L16" s="66" t="s">
        <v>77</v>
      </c>
      <c r="M16" s="66" t="s">
        <v>78</v>
      </c>
      <c r="N16" s="66"/>
      <c r="FI16" s="3"/>
      <c r="FJ16" s="3"/>
      <c r="FK16" s="3"/>
      <c r="FL16" s="3"/>
      <c r="FM16" s="3"/>
      <c r="FN16" s="3"/>
      <c r="FO16" s="3"/>
      <c r="FP16" s="3"/>
      <c r="FQ16" s="3"/>
    </row>
    <row r="17" spans="1:173" ht="16" customHeight="1">
      <c r="A17" s="12"/>
      <c r="B17" s="76"/>
      <c r="C17" s="66"/>
      <c r="D17" s="66" t="s">
        <v>79</v>
      </c>
      <c r="E17" s="66"/>
      <c r="F17" s="66" t="s">
        <v>80</v>
      </c>
      <c r="G17" s="66" t="s">
        <v>81</v>
      </c>
      <c r="H17" s="66"/>
      <c r="I17" s="66" t="s">
        <v>82</v>
      </c>
      <c r="J17" s="66"/>
      <c r="K17" s="66" t="s">
        <v>83</v>
      </c>
      <c r="L17" s="66" t="s">
        <v>84</v>
      </c>
      <c r="M17" s="66"/>
      <c r="N17" s="66"/>
      <c r="FI17" s="3"/>
      <c r="FJ17" s="3"/>
      <c r="FK17" s="3"/>
      <c r="FL17" s="3"/>
      <c r="FM17" s="3"/>
      <c r="FN17" s="3"/>
      <c r="FO17" s="3"/>
      <c r="FP17" s="3"/>
      <c r="FQ17" s="3"/>
    </row>
    <row r="18" spans="1:173" ht="16" customHeight="1">
      <c r="A18" s="12"/>
      <c r="B18" s="76"/>
      <c r="C18" s="66"/>
      <c r="D18" s="66"/>
      <c r="E18" s="66"/>
      <c r="F18" s="66" t="s">
        <v>85</v>
      </c>
      <c r="G18" s="66" t="s">
        <v>86</v>
      </c>
      <c r="H18" s="66"/>
      <c r="I18" s="66"/>
      <c r="J18" s="66"/>
      <c r="K18" s="66"/>
      <c r="L18" s="66"/>
      <c r="M18" s="66"/>
      <c r="N18" s="66"/>
      <c r="FI18" s="3"/>
      <c r="FJ18" s="3"/>
      <c r="FK18" s="3"/>
      <c r="FL18" s="3"/>
      <c r="FM18" s="3"/>
      <c r="FN18" s="3"/>
      <c r="FO18" s="3"/>
      <c r="FP18" s="3"/>
      <c r="FQ18" s="3"/>
    </row>
    <row r="19" spans="1:173" ht="16" customHeight="1">
      <c r="A19" s="12"/>
      <c r="B19" s="76"/>
      <c r="C19" s="66"/>
      <c r="D19" s="66"/>
      <c r="E19" s="66"/>
      <c r="F19" s="66" t="s">
        <v>87</v>
      </c>
      <c r="G19" s="66"/>
      <c r="H19" s="66"/>
      <c r="I19" s="66"/>
      <c r="J19" s="66"/>
      <c r="K19" s="66"/>
      <c r="L19" s="66"/>
      <c r="M19" s="66"/>
      <c r="N19" s="66"/>
      <c r="FI19" s="3"/>
      <c r="FJ19" s="3"/>
      <c r="FK19" s="3"/>
      <c r="FL19" s="3"/>
      <c r="FM19" s="3"/>
      <c r="FN19" s="3"/>
      <c r="FO19" s="3"/>
      <c r="FP19" s="3"/>
      <c r="FQ19" s="3"/>
    </row>
    <row r="20" spans="1:173" s="12" customFormat="1">
      <c r="B20" s="16"/>
    </row>
    <row r="21" spans="1:173" s="12" customFormat="1">
      <c r="B21" s="16"/>
    </row>
    <row r="22" spans="1:173" s="12" customFormat="1">
      <c r="B22" s="16" t="s">
        <v>492</v>
      </c>
    </row>
    <row r="23" spans="1:173" s="12" customFormat="1" ht="47" customHeight="1">
      <c r="B23" s="96" t="s">
        <v>491</v>
      </c>
      <c r="C23" s="96"/>
      <c r="D23" s="96"/>
      <c r="E23" s="96"/>
      <c r="F23" s="96"/>
      <c r="G23" s="96"/>
      <c r="H23" s="96"/>
      <c r="I23" s="96"/>
      <c r="J23" s="96"/>
      <c r="K23" s="96"/>
      <c r="L23" s="96"/>
      <c r="M23" s="96"/>
      <c r="N23" s="96"/>
    </row>
    <row r="24" spans="1:173" s="12" customFormat="1">
      <c r="B24" s="73" t="s">
        <v>490</v>
      </c>
      <c r="C24" s="73"/>
      <c r="D24" s="73"/>
      <c r="E24" s="73"/>
      <c r="F24" s="72"/>
      <c r="G24" s="72"/>
      <c r="H24" s="72"/>
      <c r="I24" s="72"/>
      <c r="J24" s="72"/>
      <c r="K24" s="72"/>
      <c r="L24" s="72"/>
      <c r="M24" s="72"/>
      <c r="N24" s="72"/>
    </row>
    <row r="25" spans="1:173" s="12" customFormat="1">
      <c r="B25" s="75" t="s">
        <v>488</v>
      </c>
      <c r="C25" s="73"/>
      <c r="D25" s="73"/>
      <c r="E25" s="73"/>
      <c r="F25" s="72"/>
      <c r="G25" s="72"/>
      <c r="H25" s="72"/>
      <c r="I25" s="72"/>
      <c r="J25" s="72"/>
      <c r="K25" s="72"/>
      <c r="L25" s="72"/>
      <c r="M25" s="72"/>
      <c r="N25" s="72"/>
    </row>
    <row r="26" spans="1:173" s="12" customFormat="1">
      <c r="B26" s="72"/>
      <c r="C26" s="72"/>
      <c r="D26" s="72"/>
      <c r="E26" s="72"/>
      <c r="F26" s="72"/>
      <c r="G26" s="72"/>
      <c r="H26" s="72"/>
      <c r="I26" s="72"/>
      <c r="J26" s="72"/>
      <c r="K26" s="72"/>
      <c r="L26" s="72"/>
      <c r="M26" s="72"/>
      <c r="N26" s="72"/>
    </row>
    <row r="27" spans="1:173" s="12" customFormat="1"/>
    <row r="28" spans="1:173" s="12" customFormat="1"/>
    <row r="29" spans="1:173" s="12" customFormat="1"/>
    <row r="30" spans="1:173" s="12" customFormat="1"/>
    <row r="31" spans="1:173" s="12" customFormat="1"/>
    <row r="32" spans="1:173" s="12" customFormat="1"/>
    <row r="33" s="12" customFormat="1"/>
    <row r="34" s="12" customFormat="1"/>
    <row r="35" s="12" customFormat="1"/>
    <row r="36" s="12" customFormat="1"/>
    <row r="37" s="12" customFormat="1"/>
    <row r="38" s="12" customFormat="1"/>
    <row r="39" s="12" customFormat="1"/>
    <row r="40" s="12" customFormat="1"/>
    <row r="41" s="12" customFormat="1"/>
    <row r="42" s="12" customFormat="1"/>
    <row r="43" s="12" customFormat="1"/>
    <row r="44" s="12" customFormat="1"/>
    <row r="45" s="12" customFormat="1"/>
    <row r="46" s="12" customFormat="1"/>
    <row r="47" s="12" customFormat="1"/>
    <row r="48" s="12" customFormat="1"/>
    <row r="49" s="12" customFormat="1"/>
    <row r="50" s="12" customFormat="1"/>
    <row r="51" s="12" customFormat="1"/>
    <row r="52" s="12" customFormat="1"/>
    <row r="53" s="12" customFormat="1"/>
    <row r="54" s="12" customFormat="1"/>
    <row r="55" s="12" customFormat="1"/>
    <row r="56" s="12" customFormat="1"/>
    <row r="57" s="12" customFormat="1"/>
    <row r="58" s="12" customFormat="1"/>
    <row r="59" s="12" customFormat="1"/>
    <row r="60" s="12" customFormat="1"/>
    <row r="61" s="12" customFormat="1"/>
    <row r="62" s="12" customFormat="1"/>
    <row r="63" s="12" customFormat="1"/>
    <row r="64" s="12" customFormat="1"/>
    <row r="65" s="12" customFormat="1"/>
    <row r="66" s="12" customFormat="1"/>
    <row r="67" s="12" customFormat="1"/>
    <row r="68" s="12" customFormat="1"/>
    <row r="69" s="12" customFormat="1"/>
    <row r="70" s="12" customFormat="1"/>
    <row r="71" s="12" customFormat="1"/>
    <row r="72" s="12" customFormat="1"/>
    <row r="73" s="12" customFormat="1"/>
    <row r="74" s="12" customFormat="1"/>
    <row r="75" s="12" customFormat="1"/>
    <row r="76" s="12" customFormat="1"/>
    <row r="77" s="12" customFormat="1"/>
    <row r="78" s="12" customFormat="1"/>
    <row r="79" s="12" customFormat="1"/>
    <row r="80" s="12" customFormat="1"/>
    <row r="81" s="12" customFormat="1"/>
    <row r="82" s="12" customFormat="1"/>
    <row r="83" s="12" customFormat="1"/>
    <row r="84" s="12" customFormat="1"/>
    <row r="85" s="12" customFormat="1"/>
    <row r="86" s="12" customFormat="1"/>
    <row r="87" s="12" customFormat="1"/>
    <row r="88" s="12" customFormat="1"/>
    <row r="89" s="12" customFormat="1"/>
    <row r="90" s="12" customFormat="1"/>
    <row r="91" s="12" customFormat="1"/>
    <row r="92" s="12" customFormat="1"/>
    <row r="93" s="12" customFormat="1"/>
    <row r="94" s="12" customFormat="1"/>
    <row r="95" s="12" customFormat="1"/>
    <row r="96" s="12" customFormat="1"/>
    <row r="97" s="12" customFormat="1"/>
    <row r="98" s="12" customFormat="1"/>
    <row r="99" s="12" customFormat="1"/>
    <row r="100" s="12" customFormat="1"/>
    <row r="101" s="12" customFormat="1"/>
    <row r="102" s="12" customFormat="1"/>
    <row r="103" s="12" customFormat="1"/>
    <row r="104" s="12" customFormat="1"/>
    <row r="105" s="12" customFormat="1"/>
    <row r="106" s="12" customFormat="1"/>
    <row r="107" s="12" customFormat="1"/>
    <row r="108" s="12" customFormat="1"/>
    <row r="109" s="12" customFormat="1"/>
    <row r="110" s="12" customFormat="1"/>
    <row r="111" s="12" customFormat="1"/>
    <row r="112" s="12" customFormat="1"/>
    <row r="113" s="12" customFormat="1"/>
    <row r="114" s="12" customFormat="1"/>
    <row r="115" s="12" customFormat="1"/>
    <row r="116" s="12" customFormat="1"/>
    <row r="117" s="12" customFormat="1"/>
    <row r="118" s="12" customFormat="1"/>
    <row r="119" s="12" customFormat="1"/>
    <row r="120" s="12" customFormat="1"/>
    <row r="121" s="12" customFormat="1"/>
    <row r="122" s="12" customFormat="1"/>
    <row r="123" s="12" customFormat="1"/>
    <row r="124" s="12" customFormat="1"/>
    <row r="125" s="12" customFormat="1"/>
    <row r="126" s="12" customFormat="1"/>
    <row r="127" s="12" customFormat="1"/>
    <row r="128" s="12" customFormat="1"/>
    <row r="129" s="12" customFormat="1"/>
    <row r="130" s="12" customFormat="1"/>
    <row r="131" s="12" customFormat="1"/>
    <row r="132" s="12" customFormat="1"/>
    <row r="133" s="12" customFormat="1"/>
    <row r="134" s="12" customFormat="1"/>
    <row r="135" s="12" customFormat="1"/>
    <row r="136" s="12" customFormat="1"/>
    <row r="137" s="12" customFormat="1"/>
    <row r="138" s="12" customFormat="1"/>
    <row r="139" s="12" customFormat="1"/>
    <row r="140" s="12" customFormat="1"/>
    <row r="141" s="12" customFormat="1"/>
    <row r="142" s="12" customFormat="1"/>
    <row r="143" s="12" customFormat="1"/>
    <row r="144" s="12" customFormat="1"/>
    <row r="145" s="12" customFormat="1"/>
    <row r="146" s="12" customFormat="1"/>
    <row r="147" s="12" customFormat="1"/>
    <row r="148" s="12" customFormat="1"/>
    <row r="149" s="12" customFormat="1"/>
    <row r="150" s="12" customFormat="1"/>
    <row r="151" s="12" customFormat="1"/>
    <row r="152" s="12" customFormat="1"/>
    <row r="153" s="12" customFormat="1"/>
    <row r="154" s="12" customFormat="1"/>
    <row r="155" s="12" customFormat="1"/>
    <row r="156" s="12" customFormat="1"/>
    <row r="157" s="12" customFormat="1"/>
    <row r="158" s="12" customFormat="1"/>
    <row r="159" s="12" customFormat="1"/>
    <row r="160" s="12" customFormat="1"/>
    <row r="161" s="12" customFormat="1"/>
    <row r="162" s="12" customFormat="1"/>
    <row r="163" s="12" customFormat="1"/>
    <row r="164" s="12" customFormat="1"/>
    <row r="165" s="12" customFormat="1"/>
    <row r="166" s="12" customFormat="1"/>
    <row r="167" s="12" customFormat="1"/>
    <row r="168" s="12" customFormat="1"/>
    <row r="169" s="12" customFormat="1"/>
    <row r="170" s="12" customFormat="1"/>
    <row r="171" s="12" customFormat="1"/>
    <row r="172" s="12" customFormat="1"/>
    <row r="173" s="12" customFormat="1"/>
    <row r="174" s="12" customFormat="1"/>
    <row r="175" s="12" customFormat="1"/>
    <row r="176" s="12" customFormat="1"/>
    <row r="177" s="12" customFormat="1"/>
    <row r="178" s="12" customFormat="1"/>
    <row r="179" s="12" customFormat="1"/>
    <row r="180" s="12" customFormat="1"/>
    <row r="181" s="12" customFormat="1"/>
    <row r="182" s="12" customFormat="1"/>
    <row r="183" s="12" customFormat="1"/>
    <row r="184" s="12" customFormat="1"/>
    <row r="185" s="12" customFormat="1"/>
    <row r="186" s="12" customFormat="1"/>
    <row r="187" s="12" customFormat="1"/>
    <row r="188" s="12" customFormat="1"/>
    <row r="189" s="12" customFormat="1"/>
    <row r="190" s="12" customFormat="1"/>
    <row r="191" s="12" customFormat="1"/>
    <row r="192" s="12" customFormat="1"/>
    <row r="193" s="12" customFormat="1"/>
    <row r="194" s="12" customFormat="1"/>
    <row r="195" s="12" customFormat="1"/>
    <row r="196" s="12" customFormat="1"/>
    <row r="197" s="12" customFormat="1"/>
    <row r="198" s="12" customFormat="1"/>
    <row r="199" s="12" customFormat="1"/>
    <row r="200" s="12" customFormat="1"/>
    <row r="201" s="12" customFormat="1"/>
    <row r="202" s="12" customFormat="1"/>
    <row r="203" s="12" customFormat="1"/>
    <row r="204" s="12" customFormat="1"/>
    <row r="205" s="12" customFormat="1"/>
    <row r="206" s="12" customFormat="1"/>
    <row r="207" s="12" customFormat="1"/>
    <row r="208" s="12" customFormat="1"/>
    <row r="209" s="12" customFormat="1"/>
    <row r="210" s="12" customFormat="1"/>
    <row r="211" s="12" customFormat="1"/>
    <row r="212" s="12" customFormat="1"/>
    <row r="213" s="12" customFormat="1"/>
    <row r="214" s="12" customFormat="1"/>
    <row r="215" s="12" customFormat="1"/>
    <row r="216" s="12" customFormat="1"/>
    <row r="217" s="12" customFormat="1"/>
    <row r="218" s="12" customFormat="1"/>
    <row r="219" s="12" customFormat="1"/>
    <row r="220" s="12" customFormat="1"/>
    <row r="221" s="12" customFormat="1"/>
    <row r="222" s="12" customFormat="1"/>
    <row r="223" s="12" customFormat="1"/>
    <row r="224" s="12" customFormat="1"/>
    <row r="225" s="12" customFormat="1"/>
    <row r="226" s="12" customFormat="1"/>
    <row r="227" s="12" customFormat="1"/>
    <row r="228" s="12" customFormat="1"/>
    <row r="229" s="12" customFormat="1"/>
    <row r="230" s="12" customFormat="1"/>
    <row r="231" s="12" customFormat="1"/>
    <row r="232" s="12" customFormat="1"/>
    <row r="233" s="12" customFormat="1"/>
    <row r="234" s="12" customFormat="1"/>
    <row r="235" s="12" customFormat="1"/>
    <row r="236" s="12" customFormat="1"/>
    <row r="237" s="12" customFormat="1"/>
    <row r="238" s="12" customFormat="1"/>
    <row r="239" s="12" customFormat="1"/>
    <row r="240" s="12" customFormat="1"/>
    <row r="241" s="12" customFormat="1"/>
    <row r="242" s="12" customFormat="1"/>
    <row r="243" s="12" customFormat="1"/>
    <row r="244" s="12" customFormat="1"/>
    <row r="245" s="12" customFormat="1"/>
    <row r="246" s="12" customFormat="1"/>
    <row r="247" s="12" customFormat="1"/>
    <row r="248" s="12" customFormat="1"/>
    <row r="249" s="12" customFormat="1"/>
    <row r="250" s="12" customFormat="1"/>
    <row r="251" s="12" customFormat="1"/>
    <row r="252" s="12" customFormat="1"/>
    <row r="253" s="12" customFormat="1"/>
    <row r="254" s="12" customFormat="1"/>
    <row r="255" s="12" customFormat="1"/>
    <row r="256" s="12" customFormat="1"/>
    <row r="257" s="12" customFormat="1"/>
    <row r="258" s="12" customFormat="1"/>
  </sheetData>
  <mergeCells count="3">
    <mergeCell ref="B11:B19"/>
    <mergeCell ref="B7:N8"/>
    <mergeCell ref="B23:N23"/>
  </mergeCells>
  <phoneticPr fontId="1" type="noConversion"/>
  <hyperlinks>
    <hyperlink ref="B25" r:id="rId1" xr:uid="{ADDDE09C-85B0-4ACD-8016-5D631914D3C2}"/>
  </hyperlinks>
  <pageMargins left="0.70866141732283472" right="0.70866141732283472" top="0.74803149606299213" bottom="0.74803149606299213" header="0.31496062992125984" footer="0.31496062992125984"/>
  <pageSetup paperSize="66" orientation="landscape"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BE1D-64B0-45E3-828E-BE0BB468553B}">
  <sheetPr>
    <pageSetUpPr fitToPage="1"/>
  </sheetPr>
  <dimension ref="A1:J41"/>
  <sheetViews>
    <sheetView zoomScale="160" zoomScaleNormal="160" workbookViewId="0">
      <pane ySplit="1" topLeftCell="A18" activePane="bottomLeft" state="frozen"/>
      <selection pane="bottomLeft" activeCell="C18" sqref="C18"/>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19" customFormat="1" ht="33" customHeight="1">
      <c r="A1" s="83" t="s">
        <v>120</v>
      </c>
      <c r="B1" s="84"/>
      <c r="C1" s="84"/>
      <c r="D1" s="84"/>
      <c r="E1" s="84"/>
      <c r="F1" s="84"/>
      <c r="G1" s="84"/>
      <c r="H1" s="84"/>
      <c r="I1" s="84"/>
      <c r="J1" s="84"/>
    </row>
    <row r="2" spans="1:10" ht="24.75" hidden="1" customHeight="1">
      <c r="A2" s="20"/>
      <c r="B2" s="20"/>
      <c r="C2" s="20"/>
      <c r="D2" s="20"/>
      <c r="E2" s="20"/>
      <c r="F2" s="20"/>
      <c r="G2" s="20"/>
      <c r="H2" s="20"/>
      <c r="I2" s="20"/>
      <c r="J2" s="21"/>
    </row>
    <row r="3" spans="1:10" s="22" customFormat="1" ht="23.15" customHeight="1">
      <c r="A3" s="17" t="s">
        <v>1</v>
      </c>
      <c r="B3" s="17" t="s">
        <v>121</v>
      </c>
      <c r="C3" s="17"/>
      <c r="D3" s="17"/>
      <c r="E3" s="17"/>
      <c r="F3" s="17"/>
      <c r="G3" s="17"/>
      <c r="H3" s="17"/>
      <c r="I3" s="17"/>
      <c r="J3" s="17"/>
    </row>
    <row r="4" spans="1:10" s="23" customFormat="1" ht="23.15" customHeight="1">
      <c r="A4" s="18" t="s">
        <v>13</v>
      </c>
      <c r="B4" s="18" t="s">
        <v>88</v>
      </c>
      <c r="C4" s="18" t="s">
        <v>89</v>
      </c>
      <c r="D4" s="18" t="s">
        <v>90</v>
      </c>
      <c r="E4" s="18" t="s">
        <v>91</v>
      </c>
      <c r="F4" s="18" t="s">
        <v>123</v>
      </c>
      <c r="G4" s="18" t="s">
        <v>140</v>
      </c>
      <c r="H4" s="18" t="s">
        <v>124</v>
      </c>
      <c r="I4" s="18" t="s">
        <v>125</v>
      </c>
      <c r="J4" s="18" t="s">
        <v>126</v>
      </c>
    </row>
    <row r="5" spans="1:10" ht="219" customHeight="1">
      <c r="A5" s="68" t="s">
        <v>144</v>
      </c>
      <c r="B5" s="24" t="s">
        <v>145</v>
      </c>
      <c r="C5" s="24" t="s">
        <v>395</v>
      </c>
      <c r="D5" s="24" t="s">
        <v>396</v>
      </c>
      <c r="E5" s="25" t="s">
        <v>122</v>
      </c>
      <c r="F5" s="26"/>
      <c r="G5" s="26" t="s">
        <v>211</v>
      </c>
      <c r="H5" s="26" t="s">
        <v>213</v>
      </c>
      <c r="I5" s="26" t="s">
        <v>215</v>
      </c>
      <c r="J5" s="26" t="s">
        <v>41</v>
      </c>
    </row>
    <row r="6" spans="1:10" s="23" customFormat="1" ht="23.15" customHeight="1">
      <c r="A6" s="18" t="s">
        <v>25</v>
      </c>
      <c r="B6" s="18" t="s">
        <v>88</v>
      </c>
      <c r="C6" s="18" t="s">
        <v>89</v>
      </c>
      <c r="D6" s="18" t="s">
        <v>90</v>
      </c>
      <c r="E6" s="18" t="s">
        <v>91</v>
      </c>
      <c r="F6" s="18" t="s">
        <v>123</v>
      </c>
      <c r="G6" s="18" t="s">
        <v>140</v>
      </c>
      <c r="H6" s="18" t="s">
        <v>124</v>
      </c>
      <c r="I6" s="18" t="s">
        <v>125</v>
      </c>
      <c r="J6" s="18" t="s">
        <v>126</v>
      </c>
    </row>
    <row r="7" spans="1:10" ht="195.75" customHeight="1">
      <c r="A7" s="68" t="s">
        <v>146</v>
      </c>
      <c r="B7" s="25" t="s">
        <v>208</v>
      </c>
      <c r="C7" s="25" t="s">
        <v>209</v>
      </c>
      <c r="D7" s="25" t="s">
        <v>210</v>
      </c>
      <c r="E7" s="25" t="s">
        <v>127</v>
      </c>
      <c r="F7" s="26" t="s">
        <v>93</v>
      </c>
      <c r="G7" s="26" t="s">
        <v>212</v>
      </c>
      <c r="H7" s="26" t="s">
        <v>290</v>
      </c>
      <c r="I7" s="26" t="s">
        <v>215</v>
      </c>
      <c r="J7" s="26" t="s">
        <v>17</v>
      </c>
    </row>
    <row r="8" spans="1:10" s="29" customFormat="1" ht="23.15" customHeight="1">
      <c r="A8" s="18" t="s">
        <v>37</v>
      </c>
      <c r="B8" s="18" t="s">
        <v>88</v>
      </c>
      <c r="C8" s="18" t="s">
        <v>89</v>
      </c>
      <c r="D8" s="18" t="s">
        <v>90</v>
      </c>
      <c r="E8" s="18" t="s">
        <v>91</v>
      </c>
      <c r="F8" s="18" t="s">
        <v>123</v>
      </c>
      <c r="G8" s="18" t="s">
        <v>140</v>
      </c>
      <c r="H8" s="18" t="s">
        <v>124</v>
      </c>
      <c r="I8" s="18" t="s">
        <v>125</v>
      </c>
      <c r="J8" s="18" t="s">
        <v>126</v>
      </c>
    </row>
    <row r="9" spans="1:10" ht="207.75" customHeight="1">
      <c r="A9" s="68" t="s">
        <v>147</v>
      </c>
      <c r="B9" s="25" t="s">
        <v>373</v>
      </c>
      <c r="C9" s="25" t="s">
        <v>374</v>
      </c>
      <c r="D9" s="25" t="s">
        <v>149</v>
      </c>
      <c r="E9" s="25" t="s">
        <v>148</v>
      </c>
      <c r="F9" s="26" t="s">
        <v>128</v>
      </c>
      <c r="G9" s="26" t="s">
        <v>211</v>
      </c>
      <c r="H9" s="26" t="s">
        <v>213</v>
      </c>
      <c r="I9" s="26" t="s">
        <v>215</v>
      </c>
      <c r="J9" s="26" t="s">
        <v>49</v>
      </c>
    </row>
    <row r="10" spans="1:10" s="29" customFormat="1" ht="23.15" customHeight="1">
      <c r="A10" s="18" t="s">
        <v>49</v>
      </c>
      <c r="B10" s="18" t="s">
        <v>88</v>
      </c>
      <c r="C10" s="18" t="s">
        <v>89</v>
      </c>
      <c r="D10" s="18" t="s">
        <v>90</v>
      </c>
      <c r="E10" s="18" t="s">
        <v>91</v>
      </c>
      <c r="F10" s="18" t="s">
        <v>123</v>
      </c>
      <c r="G10" s="18" t="s">
        <v>140</v>
      </c>
      <c r="H10" s="18" t="s">
        <v>124</v>
      </c>
      <c r="I10" s="18" t="s">
        <v>125</v>
      </c>
      <c r="J10" s="18" t="s">
        <v>126</v>
      </c>
    </row>
    <row r="11" spans="1:10" ht="30" customHeight="1">
      <c r="A11" s="68" t="s">
        <v>150</v>
      </c>
      <c r="B11" s="85" t="s">
        <v>44</v>
      </c>
      <c r="C11" s="85"/>
      <c r="D11" s="85"/>
      <c r="E11" s="85"/>
      <c r="F11" s="26"/>
      <c r="G11" s="26" t="s">
        <v>211</v>
      </c>
      <c r="H11" s="26" t="s">
        <v>213</v>
      </c>
      <c r="I11" s="26" t="s">
        <v>94</v>
      </c>
      <c r="J11" s="26" t="s">
        <v>37</v>
      </c>
    </row>
    <row r="12" spans="1:10" s="29" customFormat="1" ht="23.15" customHeight="1">
      <c r="A12" s="18" t="s">
        <v>61</v>
      </c>
      <c r="B12" s="18" t="s">
        <v>88</v>
      </c>
      <c r="C12" s="18" t="s">
        <v>89</v>
      </c>
      <c r="D12" s="18" t="s">
        <v>90</v>
      </c>
      <c r="E12" s="18" t="s">
        <v>91</v>
      </c>
      <c r="F12" s="18" t="s">
        <v>123</v>
      </c>
      <c r="G12" s="18" t="s">
        <v>140</v>
      </c>
      <c r="H12" s="18" t="s">
        <v>124</v>
      </c>
      <c r="I12" s="18" t="s">
        <v>125</v>
      </c>
      <c r="J12" s="18" t="s">
        <v>126</v>
      </c>
    </row>
    <row r="13" spans="1:10" ht="128.25" customHeight="1">
      <c r="A13" s="68" t="s">
        <v>151</v>
      </c>
      <c r="B13" s="26" t="s">
        <v>158</v>
      </c>
      <c r="C13" s="26" t="s">
        <v>157</v>
      </c>
      <c r="D13" s="26" t="s">
        <v>152</v>
      </c>
      <c r="E13" s="26" t="s">
        <v>129</v>
      </c>
      <c r="F13" s="27"/>
      <c r="G13" s="26" t="s">
        <v>95</v>
      </c>
      <c r="H13" s="26" t="s">
        <v>214</v>
      </c>
      <c r="I13" s="26" t="s">
        <v>215</v>
      </c>
      <c r="J13" s="28"/>
    </row>
    <row r="14" spans="1:10" s="29" customFormat="1" ht="23.15" customHeight="1">
      <c r="A14" s="17" t="s">
        <v>2</v>
      </c>
      <c r="B14" s="17" t="s">
        <v>130</v>
      </c>
      <c r="C14" s="17"/>
      <c r="D14" s="17"/>
      <c r="E14" s="17"/>
      <c r="F14" s="17"/>
      <c r="G14" s="17"/>
      <c r="H14" s="17"/>
      <c r="I14" s="17"/>
      <c r="J14" s="17"/>
    </row>
    <row r="15" spans="1:10" s="29" customFormat="1" ht="23.15" customHeight="1">
      <c r="A15" s="18" t="s">
        <v>14</v>
      </c>
      <c r="B15" s="18" t="s">
        <v>88</v>
      </c>
      <c r="C15" s="18" t="s">
        <v>89</v>
      </c>
      <c r="D15" s="18" t="s">
        <v>90</v>
      </c>
      <c r="E15" s="18" t="s">
        <v>91</v>
      </c>
      <c r="F15" s="18" t="s">
        <v>123</v>
      </c>
      <c r="G15" s="18" t="s">
        <v>140</v>
      </c>
      <c r="H15" s="18" t="s">
        <v>124</v>
      </c>
      <c r="I15" s="18" t="s">
        <v>125</v>
      </c>
      <c r="J15" s="18" t="s">
        <v>126</v>
      </c>
    </row>
    <row r="16" spans="1:10" ht="281">
      <c r="A16" s="68" t="s">
        <v>153</v>
      </c>
      <c r="B16" s="25" t="s">
        <v>463</v>
      </c>
      <c r="C16" s="25" t="s">
        <v>154</v>
      </c>
      <c r="D16" s="25" t="s">
        <v>156</v>
      </c>
      <c r="E16" s="26" t="s">
        <v>139</v>
      </c>
      <c r="F16" s="26" t="s">
        <v>155</v>
      </c>
      <c r="G16" s="28" t="s">
        <v>95</v>
      </c>
      <c r="H16" s="28" t="s">
        <v>290</v>
      </c>
      <c r="I16" s="28" t="s">
        <v>216</v>
      </c>
      <c r="J16" s="26" t="s">
        <v>135</v>
      </c>
    </row>
    <row r="17" spans="1:10" s="29" customFormat="1" ht="23.15" customHeight="1">
      <c r="A17" s="18" t="s">
        <v>26</v>
      </c>
      <c r="B17" s="18" t="s">
        <v>88</v>
      </c>
      <c r="C17" s="18" t="s">
        <v>89</v>
      </c>
      <c r="D17" s="18" t="s">
        <v>90</v>
      </c>
      <c r="E17" s="18" t="s">
        <v>91</v>
      </c>
      <c r="F17" s="18" t="s">
        <v>123</v>
      </c>
      <c r="G17" s="18" t="s">
        <v>140</v>
      </c>
      <c r="H17" s="18" t="s">
        <v>124</v>
      </c>
      <c r="I17" s="18" t="s">
        <v>125</v>
      </c>
      <c r="J17" s="18" t="s">
        <v>126</v>
      </c>
    </row>
    <row r="18" spans="1:10" s="30" customFormat="1" ht="332.5">
      <c r="A18" s="68" t="s">
        <v>159</v>
      </c>
      <c r="B18" s="25" t="s">
        <v>434</v>
      </c>
      <c r="C18" s="25" t="s">
        <v>397</v>
      </c>
      <c r="D18" s="25" t="s">
        <v>398</v>
      </c>
      <c r="E18" s="26" t="s">
        <v>160</v>
      </c>
      <c r="F18" s="26" t="s">
        <v>161</v>
      </c>
      <c r="G18" s="26" t="s">
        <v>212</v>
      </c>
      <c r="H18" s="26" t="s">
        <v>213</v>
      </c>
      <c r="I18" s="26" t="s">
        <v>215</v>
      </c>
      <c r="J18" s="26" t="s">
        <v>96</v>
      </c>
    </row>
    <row r="19" spans="1:10" s="29" customFormat="1" ht="22.5" customHeight="1">
      <c r="A19" s="18" t="s">
        <v>38</v>
      </c>
      <c r="B19" s="18" t="s">
        <v>88</v>
      </c>
      <c r="C19" s="18" t="s">
        <v>89</v>
      </c>
      <c r="D19" s="18" t="s">
        <v>90</v>
      </c>
      <c r="E19" s="18" t="s">
        <v>91</v>
      </c>
      <c r="F19" s="18" t="s">
        <v>123</v>
      </c>
      <c r="G19" s="18" t="s">
        <v>140</v>
      </c>
      <c r="H19" s="18" t="s">
        <v>124</v>
      </c>
      <c r="I19" s="18" t="s">
        <v>125</v>
      </c>
      <c r="J19" s="18" t="s">
        <v>126</v>
      </c>
    </row>
    <row r="20" spans="1:10" ht="50">
      <c r="A20" s="68" t="s">
        <v>162</v>
      </c>
      <c r="B20" s="85" t="s">
        <v>48</v>
      </c>
      <c r="C20" s="85"/>
      <c r="D20" s="85"/>
      <c r="E20" s="85"/>
      <c r="F20" s="26" t="s">
        <v>163</v>
      </c>
      <c r="G20" s="28" t="s">
        <v>212</v>
      </c>
      <c r="H20" s="28" t="s">
        <v>213</v>
      </c>
      <c r="I20" s="28" t="s">
        <v>215</v>
      </c>
      <c r="J20" s="28" t="s">
        <v>97</v>
      </c>
    </row>
    <row r="21" spans="1:10" s="29" customFormat="1" ht="23.15" customHeight="1">
      <c r="A21" s="18" t="s">
        <v>50</v>
      </c>
      <c r="B21" s="18" t="s">
        <v>88</v>
      </c>
      <c r="C21" s="18" t="s">
        <v>89</v>
      </c>
      <c r="D21" s="18" t="s">
        <v>90</v>
      </c>
      <c r="E21" s="18" t="s">
        <v>91</v>
      </c>
      <c r="F21" s="18" t="s">
        <v>123</v>
      </c>
      <c r="G21" s="18" t="s">
        <v>140</v>
      </c>
      <c r="H21" s="18" t="s">
        <v>124</v>
      </c>
      <c r="I21" s="18" t="s">
        <v>125</v>
      </c>
      <c r="J21" s="18" t="s">
        <v>126</v>
      </c>
    </row>
    <row r="22" spans="1:10" s="31" customFormat="1" ht="50">
      <c r="A22" s="68" t="s">
        <v>131</v>
      </c>
      <c r="B22" s="85" t="s">
        <v>36</v>
      </c>
      <c r="C22" s="85"/>
      <c r="D22" s="85"/>
      <c r="E22" s="85"/>
      <c r="F22" s="26" t="s">
        <v>164</v>
      </c>
      <c r="G22" s="26" t="s">
        <v>212</v>
      </c>
      <c r="H22" s="26" t="s">
        <v>213</v>
      </c>
      <c r="I22" s="26" t="s">
        <v>215</v>
      </c>
      <c r="J22" s="26" t="s">
        <v>97</v>
      </c>
    </row>
    <row r="23" spans="1:10" s="29" customFormat="1" ht="23.15" customHeight="1">
      <c r="A23" s="18" t="s">
        <v>62</v>
      </c>
      <c r="B23" s="18" t="s">
        <v>88</v>
      </c>
      <c r="C23" s="18" t="s">
        <v>89</v>
      </c>
      <c r="D23" s="18" t="s">
        <v>90</v>
      </c>
      <c r="E23" s="18" t="s">
        <v>91</v>
      </c>
      <c r="F23" s="18" t="s">
        <v>123</v>
      </c>
      <c r="G23" s="18" t="s">
        <v>140</v>
      </c>
      <c r="H23" s="18" t="s">
        <v>124</v>
      </c>
      <c r="I23" s="18" t="s">
        <v>125</v>
      </c>
      <c r="J23" s="18" t="s">
        <v>126</v>
      </c>
    </row>
    <row r="24" spans="1:10" ht="42" customHeight="1">
      <c r="A24" s="68" t="s">
        <v>132</v>
      </c>
      <c r="B24" s="85" t="s">
        <v>59</v>
      </c>
      <c r="C24" s="85"/>
      <c r="D24" s="85"/>
      <c r="E24" s="85"/>
      <c r="F24" s="26" t="s">
        <v>165</v>
      </c>
      <c r="G24" s="28" t="s">
        <v>212</v>
      </c>
      <c r="H24" s="28" t="s">
        <v>213</v>
      </c>
      <c r="I24" s="28" t="s">
        <v>94</v>
      </c>
      <c r="J24" s="28"/>
    </row>
    <row r="25" spans="1:10" s="29" customFormat="1" ht="23.15" customHeight="1">
      <c r="A25" s="18" t="s">
        <v>71</v>
      </c>
      <c r="B25" s="18" t="s">
        <v>88</v>
      </c>
      <c r="C25" s="18" t="s">
        <v>89</v>
      </c>
      <c r="D25" s="18" t="s">
        <v>90</v>
      </c>
      <c r="E25" s="18" t="s">
        <v>91</v>
      </c>
      <c r="F25" s="18" t="s">
        <v>123</v>
      </c>
      <c r="G25" s="18" t="s">
        <v>140</v>
      </c>
      <c r="H25" s="18" t="s">
        <v>124</v>
      </c>
      <c r="I25" s="18" t="s">
        <v>125</v>
      </c>
      <c r="J25" s="18" t="s">
        <v>126</v>
      </c>
    </row>
    <row r="26" spans="1:10" ht="231" customHeight="1">
      <c r="A26" s="69" t="s">
        <v>166</v>
      </c>
      <c r="B26" s="32" t="s">
        <v>167</v>
      </c>
      <c r="C26" s="32" t="s">
        <v>168</v>
      </c>
      <c r="D26" s="32" t="s">
        <v>435</v>
      </c>
      <c r="E26" s="32" t="s">
        <v>169</v>
      </c>
      <c r="F26" s="28"/>
      <c r="G26" s="28" t="s">
        <v>211</v>
      </c>
      <c r="H26" s="28" t="s">
        <v>213</v>
      </c>
      <c r="I26" s="28" t="s">
        <v>215</v>
      </c>
      <c r="J26" s="28" t="s">
        <v>98</v>
      </c>
    </row>
    <row r="27" spans="1:10" s="29" customFormat="1" ht="23.15" customHeight="1">
      <c r="A27" s="18" t="s">
        <v>79</v>
      </c>
      <c r="B27" s="18" t="s">
        <v>88</v>
      </c>
      <c r="C27" s="18" t="s">
        <v>89</v>
      </c>
      <c r="D27" s="18" t="s">
        <v>90</v>
      </c>
      <c r="E27" s="18" t="s">
        <v>91</v>
      </c>
      <c r="F27" s="18" t="s">
        <v>123</v>
      </c>
      <c r="G27" s="18" t="s">
        <v>140</v>
      </c>
      <c r="H27" s="18" t="s">
        <v>124</v>
      </c>
      <c r="I27" s="18" t="s">
        <v>125</v>
      </c>
      <c r="J27" s="18" t="s">
        <v>126</v>
      </c>
    </row>
    <row r="28" spans="1:10" ht="100.5">
      <c r="A28" s="68" t="s">
        <v>170</v>
      </c>
      <c r="B28" s="26" t="s">
        <v>171</v>
      </c>
      <c r="C28" s="26" t="s">
        <v>172</v>
      </c>
      <c r="D28" s="26" t="s">
        <v>173</v>
      </c>
      <c r="E28" s="26" t="s">
        <v>129</v>
      </c>
      <c r="F28" s="27"/>
      <c r="G28" s="26" t="s">
        <v>95</v>
      </c>
      <c r="H28" s="26" t="s">
        <v>214</v>
      </c>
      <c r="I28" s="26" t="s">
        <v>215</v>
      </c>
      <c r="J28" s="28"/>
    </row>
    <row r="29" spans="1:10" s="29" customFormat="1" ht="23.15" customHeight="1">
      <c r="A29" s="17" t="s">
        <v>3</v>
      </c>
      <c r="B29" s="17" t="s">
        <v>133</v>
      </c>
      <c r="C29" s="17"/>
      <c r="D29" s="17"/>
      <c r="E29" s="17"/>
      <c r="F29" s="17"/>
      <c r="G29" s="17"/>
      <c r="H29" s="17"/>
      <c r="I29" s="17"/>
      <c r="J29" s="17"/>
    </row>
    <row r="30" spans="1:10" s="29" customFormat="1" ht="23.15" customHeight="1">
      <c r="A30" s="18" t="s">
        <v>15</v>
      </c>
      <c r="B30" s="18" t="s">
        <v>88</v>
      </c>
      <c r="C30" s="18" t="s">
        <v>89</v>
      </c>
      <c r="D30" s="18" t="s">
        <v>90</v>
      </c>
      <c r="E30" s="18" t="s">
        <v>91</v>
      </c>
      <c r="F30" s="18" t="s">
        <v>123</v>
      </c>
      <c r="G30" s="18" t="s">
        <v>140</v>
      </c>
      <c r="H30" s="18" t="s">
        <v>124</v>
      </c>
      <c r="I30" s="18" t="s">
        <v>125</v>
      </c>
      <c r="J30" s="18" t="s">
        <v>126</v>
      </c>
    </row>
    <row r="31" spans="1:10" ht="266.25" customHeight="1">
      <c r="A31" s="68" t="s">
        <v>174</v>
      </c>
      <c r="B31" s="25" t="s">
        <v>175</v>
      </c>
      <c r="C31" s="25" t="s">
        <v>176</v>
      </c>
      <c r="D31" s="25" t="s">
        <v>177</v>
      </c>
      <c r="E31" s="26" t="s">
        <v>134</v>
      </c>
      <c r="F31" s="26" t="s">
        <v>178</v>
      </c>
      <c r="G31" s="28" t="s">
        <v>95</v>
      </c>
      <c r="H31" s="28" t="s">
        <v>290</v>
      </c>
      <c r="I31" s="28" t="s">
        <v>215</v>
      </c>
      <c r="J31" s="26" t="s">
        <v>189</v>
      </c>
    </row>
    <row r="32" spans="1:10" s="29" customFormat="1" ht="23.15" customHeight="1">
      <c r="A32" s="18" t="s">
        <v>27</v>
      </c>
      <c r="B32" s="18" t="s">
        <v>88</v>
      </c>
      <c r="C32" s="18" t="s">
        <v>89</v>
      </c>
      <c r="D32" s="18" t="s">
        <v>90</v>
      </c>
      <c r="E32" s="18" t="s">
        <v>91</v>
      </c>
      <c r="F32" s="18" t="s">
        <v>123</v>
      </c>
      <c r="G32" s="18" t="s">
        <v>140</v>
      </c>
      <c r="H32" s="18" t="s">
        <v>124</v>
      </c>
      <c r="I32" s="18" t="s">
        <v>125</v>
      </c>
      <c r="J32" s="18" t="s">
        <v>126</v>
      </c>
    </row>
    <row r="33" spans="1:10" ht="333.75" customHeight="1">
      <c r="A33" s="68" t="s">
        <v>180</v>
      </c>
      <c r="B33" s="25" t="s">
        <v>432</v>
      </c>
      <c r="C33" s="25" t="s">
        <v>433</v>
      </c>
      <c r="D33" s="25" t="s">
        <v>188</v>
      </c>
      <c r="E33" s="26" t="s">
        <v>179</v>
      </c>
      <c r="F33" s="26"/>
      <c r="G33" s="26" t="s">
        <v>212</v>
      </c>
      <c r="H33" s="26" t="s">
        <v>213</v>
      </c>
      <c r="I33" s="26" t="s">
        <v>215</v>
      </c>
      <c r="J33" s="26" t="s">
        <v>99</v>
      </c>
    </row>
    <row r="34" spans="1:10" s="29" customFormat="1" ht="23.15" customHeight="1">
      <c r="A34" s="18" t="s">
        <v>39</v>
      </c>
      <c r="B34" s="18" t="s">
        <v>88</v>
      </c>
      <c r="C34" s="18" t="s">
        <v>89</v>
      </c>
      <c r="D34" s="18" t="s">
        <v>90</v>
      </c>
      <c r="E34" s="18" t="s">
        <v>91</v>
      </c>
      <c r="F34" s="18" t="s">
        <v>123</v>
      </c>
      <c r="G34" s="18" t="s">
        <v>140</v>
      </c>
      <c r="H34" s="18" t="s">
        <v>124</v>
      </c>
      <c r="I34" s="18" t="s">
        <v>125</v>
      </c>
      <c r="J34" s="18" t="s">
        <v>126</v>
      </c>
    </row>
    <row r="35" spans="1:10" ht="50">
      <c r="A35" s="68" t="s">
        <v>181</v>
      </c>
      <c r="B35" s="85" t="s">
        <v>48</v>
      </c>
      <c r="C35" s="85"/>
      <c r="D35" s="85"/>
      <c r="E35" s="85"/>
      <c r="F35" s="26" t="s">
        <v>182</v>
      </c>
      <c r="G35" s="28" t="s">
        <v>212</v>
      </c>
      <c r="H35" s="28" t="s">
        <v>213</v>
      </c>
      <c r="I35" s="28" t="s">
        <v>215</v>
      </c>
      <c r="J35" s="28"/>
    </row>
    <row r="36" spans="1:10" s="29" customFormat="1" ht="23.15" customHeight="1">
      <c r="A36" s="18" t="s">
        <v>51</v>
      </c>
      <c r="B36" s="18" t="s">
        <v>88</v>
      </c>
      <c r="C36" s="18" t="s">
        <v>89</v>
      </c>
      <c r="D36" s="18" t="s">
        <v>90</v>
      </c>
      <c r="E36" s="18" t="s">
        <v>91</v>
      </c>
      <c r="F36" s="18" t="s">
        <v>123</v>
      </c>
      <c r="G36" s="18" t="s">
        <v>140</v>
      </c>
      <c r="H36" s="18" t="s">
        <v>124</v>
      </c>
      <c r="I36" s="18" t="s">
        <v>125</v>
      </c>
      <c r="J36" s="18" t="s">
        <v>126</v>
      </c>
    </row>
    <row r="37" spans="1:10" ht="50">
      <c r="A37" s="68" t="s">
        <v>131</v>
      </c>
      <c r="B37" s="85" t="s">
        <v>36</v>
      </c>
      <c r="C37" s="85"/>
      <c r="D37" s="85"/>
      <c r="E37" s="85"/>
      <c r="F37" s="26" t="s">
        <v>183</v>
      </c>
      <c r="G37" s="26" t="s">
        <v>212</v>
      </c>
      <c r="H37" s="26" t="s">
        <v>213</v>
      </c>
      <c r="I37" s="26" t="s">
        <v>215</v>
      </c>
      <c r="J37" s="33"/>
    </row>
    <row r="38" spans="1:10" s="29" customFormat="1" ht="23.15" customHeight="1">
      <c r="A38" s="18" t="s">
        <v>63</v>
      </c>
      <c r="B38" s="18" t="s">
        <v>88</v>
      </c>
      <c r="C38" s="18" t="s">
        <v>89</v>
      </c>
      <c r="D38" s="18" t="s">
        <v>90</v>
      </c>
      <c r="E38" s="18" t="s">
        <v>91</v>
      </c>
      <c r="F38" s="18" t="s">
        <v>123</v>
      </c>
      <c r="G38" s="18" t="s">
        <v>140</v>
      </c>
      <c r="H38" s="18" t="s">
        <v>124</v>
      </c>
      <c r="I38" s="18" t="s">
        <v>125</v>
      </c>
      <c r="J38" s="18" t="s">
        <v>126</v>
      </c>
    </row>
    <row r="39" spans="1:10" ht="30">
      <c r="A39" s="68" t="s">
        <v>186</v>
      </c>
      <c r="B39" s="85" t="s">
        <v>59</v>
      </c>
      <c r="C39" s="85"/>
      <c r="D39" s="85"/>
      <c r="E39" s="85"/>
      <c r="F39" s="26" t="s">
        <v>399</v>
      </c>
      <c r="G39" s="28" t="s">
        <v>212</v>
      </c>
      <c r="H39" s="28" t="s">
        <v>213</v>
      </c>
      <c r="I39" s="28" t="s">
        <v>215</v>
      </c>
      <c r="J39" s="28"/>
    </row>
    <row r="40" spans="1:10" s="29" customFormat="1" ht="23.15" customHeight="1">
      <c r="A40" s="18" t="s">
        <v>72</v>
      </c>
      <c r="B40" s="18" t="s">
        <v>88</v>
      </c>
      <c r="C40" s="18" t="s">
        <v>89</v>
      </c>
      <c r="D40" s="18" t="s">
        <v>90</v>
      </c>
      <c r="E40" s="18" t="s">
        <v>91</v>
      </c>
      <c r="F40" s="18" t="s">
        <v>123</v>
      </c>
      <c r="G40" s="18" t="s">
        <v>140</v>
      </c>
      <c r="H40" s="18" t="s">
        <v>124</v>
      </c>
      <c r="I40" s="18" t="s">
        <v>125</v>
      </c>
      <c r="J40" s="18" t="s">
        <v>126</v>
      </c>
    </row>
    <row r="41" spans="1:10" s="8" customFormat="1" ht="119.25" customHeight="1">
      <c r="A41" s="68" t="s">
        <v>372</v>
      </c>
      <c r="B41" s="26" t="s">
        <v>187</v>
      </c>
      <c r="C41" s="26" t="s">
        <v>184</v>
      </c>
      <c r="D41" s="26" t="s">
        <v>185</v>
      </c>
      <c r="E41" s="26" t="s">
        <v>129</v>
      </c>
      <c r="F41" s="27"/>
      <c r="G41" s="26" t="s">
        <v>95</v>
      </c>
      <c r="H41" s="26" t="s">
        <v>214</v>
      </c>
      <c r="I41" s="26" t="s">
        <v>215</v>
      </c>
      <c r="J41" s="28"/>
    </row>
  </sheetData>
  <mergeCells count="8">
    <mergeCell ref="A1:J1"/>
    <mergeCell ref="B35:E35"/>
    <mergeCell ref="B37:E37"/>
    <mergeCell ref="B39:E39"/>
    <mergeCell ref="B24:E24"/>
    <mergeCell ref="B22:E22"/>
    <mergeCell ref="B20:E20"/>
    <mergeCell ref="B11:E11"/>
  </mergeCells>
  <conditionalFormatting sqref="B3:B4 B6 B8">
    <cfRule type="expression" dxfId="178" priority="233">
      <formula>#REF! = "A"</formula>
    </cfRule>
  </conditionalFormatting>
  <conditionalFormatting sqref="B10:B25">
    <cfRule type="expression" dxfId="177" priority="34">
      <formula>#REF! = "A"</formula>
    </cfRule>
  </conditionalFormatting>
  <conditionalFormatting sqref="B27:B1048576">
    <cfRule type="expression" dxfId="176" priority="30">
      <formula>#REF! = "A"</formula>
    </cfRule>
  </conditionalFormatting>
  <conditionalFormatting sqref="B26:D26">
    <cfRule type="expression" dxfId="175" priority="69">
      <formula>#REF! = "D"</formula>
    </cfRule>
  </conditionalFormatting>
  <conditionalFormatting sqref="C3:C4 C6 C8 C10 C14:C15 C17 C19 C21 C23 C25 C29:C30 C32 C34 C36 C38 C40 C42:C1048576">
    <cfRule type="expression" dxfId="174" priority="234">
      <formula>#REF! = "B"</formula>
    </cfRule>
  </conditionalFormatting>
  <conditionalFormatting sqref="C12">
    <cfRule type="expression" dxfId="173" priority="53">
      <formula>#REF! = "B"</formula>
    </cfRule>
  </conditionalFormatting>
  <conditionalFormatting sqref="C27">
    <cfRule type="expression" dxfId="172" priority="62">
      <formula>#REF! = "B"</formula>
    </cfRule>
  </conditionalFormatting>
  <conditionalFormatting sqref="C13:D13">
    <cfRule type="expression" dxfId="171" priority="33">
      <formula>#REF! = "A"</formula>
    </cfRule>
  </conditionalFormatting>
  <conditionalFormatting sqref="C18:D18">
    <cfRule type="expression" dxfId="170" priority="88">
      <formula>#REF! = "A"</formula>
    </cfRule>
  </conditionalFormatting>
  <conditionalFormatting sqref="C28:D28">
    <cfRule type="expression" dxfId="169" priority="31">
      <formula>#REF! = "A"</formula>
    </cfRule>
  </conditionalFormatting>
  <conditionalFormatting sqref="C33:D33">
    <cfRule type="expression" dxfId="168" priority="70">
      <formula>#REF! = "A"</formula>
    </cfRule>
  </conditionalFormatting>
  <conditionalFormatting sqref="C41:D41">
    <cfRule type="expression" dxfId="167" priority="29">
      <formula>#REF! = "A"</formula>
    </cfRule>
  </conditionalFormatting>
  <conditionalFormatting sqref="D3:D4 D6 D8 D10 D14:D15 D17 D19 D21 D23 D25 D29:D30 D32 D34 D36 D38 D40 D42:D1048576">
    <cfRule type="expression" dxfId="166" priority="235">
      <formula>#REF! = "C"</formula>
    </cfRule>
  </conditionalFormatting>
  <conditionalFormatting sqref="D12">
    <cfRule type="expression" dxfId="165" priority="54">
      <formula>#REF! = "C"</formula>
    </cfRule>
  </conditionalFormatting>
  <conditionalFormatting sqref="D27">
    <cfRule type="expression" dxfId="164" priority="63">
      <formula>#REF! = "C"</formula>
    </cfRule>
  </conditionalFormatting>
  <conditionalFormatting sqref="E3:E4 E6 E8 E10 G18:J18">
    <cfRule type="expression" dxfId="163" priority="236">
      <formula>#REF! = "D"</formula>
    </cfRule>
  </conditionalFormatting>
  <conditionalFormatting sqref="E12:E19">
    <cfRule type="expression" dxfId="162" priority="52">
      <formula>#REF! = "D"</formula>
    </cfRule>
  </conditionalFormatting>
  <conditionalFormatting sqref="E27:E34">
    <cfRule type="expression" dxfId="161" priority="61">
      <formula>#REF! = "D"</formula>
    </cfRule>
  </conditionalFormatting>
  <conditionalFormatting sqref="E40:E1048576">
    <cfRule type="expression" dxfId="160" priority="15">
      <formula>#REF! = "D"</formula>
    </cfRule>
  </conditionalFormatting>
  <conditionalFormatting sqref="E21:J21">
    <cfRule type="expression" dxfId="159" priority="10">
      <formula>#REF! = "D"</formula>
    </cfRule>
  </conditionalFormatting>
  <conditionalFormatting sqref="E23:J23">
    <cfRule type="expression" dxfId="158" priority="9">
      <formula>#REF! = "D"</formula>
    </cfRule>
  </conditionalFormatting>
  <conditionalFormatting sqref="E25:J25">
    <cfRule type="expression" dxfId="157" priority="8">
      <formula>#REF! = "D"</formula>
    </cfRule>
  </conditionalFormatting>
  <conditionalFormatting sqref="E36:J36">
    <cfRule type="expression" dxfId="156" priority="3">
      <formula>#REF! = "D"</formula>
    </cfRule>
  </conditionalFormatting>
  <conditionalFormatting sqref="E38:J38">
    <cfRule type="expression" dxfId="155" priority="2">
      <formula>#REF! = "D"</formula>
    </cfRule>
  </conditionalFormatting>
  <conditionalFormatting sqref="F3:J12">
    <cfRule type="expression" dxfId="154" priority="45">
      <formula>#REF! = "D"</formula>
    </cfRule>
  </conditionalFormatting>
  <conditionalFormatting sqref="F14:J15">
    <cfRule type="expression" dxfId="153" priority="13">
      <formula>#REF! = "D"</formula>
    </cfRule>
  </conditionalFormatting>
  <conditionalFormatting sqref="F17:J17">
    <cfRule type="expression" dxfId="152" priority="12">
      <formula>#REF! = "D"</formula>
    </cfRule>
  </conditionalFormatting>
  <conditionalFormatting sqref="F19:J19">
    <cfRule type="expression" dxfId="151" priority="11">
      <formula>#REF! = "D"</formula>
    </cfRule>
  </conditionalFormatting>
  <conditionalFormatting sqref="F27:J27">
    <cfRule type="expression" dxfId="150" priority="7">
      <formula>#REF! = "D"</formula>
    </cfRule>
  </conditionalFormatting>
  <conditionalFormatting sqref="F29:J30">
    <cfRule type="expression" dxfId="149" priority="6">
      <formula>#REF! = "D"</formula>
    </cfRule>
  </conditionalFormatting>
  <conditionalFormatting sqref="F32:J34">
    <cfRule type="expression" dxfId="148" priority="4">
      <formula>#REF! = "D"</formula>
    </cfRule>
  </conditionalFormatting>
  <conditionalFormatting sqref="F40:J40">
    <cfRule type="expression" dxfId="147" priority="1">
      <formula>#REF! = "D"</formula>
    </cfRule>
  </conditionalFormatting>
  <conditionalFormatting sqref="G13:I13">
    <cfRule type="expression" dxfId="146" priority="48">
      <formula>#REF! = "D"</formula>
    </cfRule>
  </conditionalFormatting>
  <conditionalFormatting sqref="G28:I28">
    <cfRule type="expression" dxfId="145" priority="57">
      <formula>#REF! = "D"</formula>
    </cfRule>
  </conditionalFormatting>
  <conditionalFormatting sqref="G41:I41">
    <cfRule type="expression" dxfId="144" priority="106">
      <formula>#REF! = "D"</formula>
    </cfRule>
  </conditionalFormatting>
  <conditionalFormatting sqref="G22:J22">
    <cfRule type="expression" dxfId="143" priority="130">
      <formula>#REF! = "D"</formula>
    </cfRule>
  </conditionalFormatting>
  <conditionalFormatting sqref="G37:J37">
    <cfRule type="expression" dxfId="142" priority="84">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3" manualBreakCount="3">
    <brk id="13" max="9" man="1"/>
    <brk id="24" max="9" man="1"/>
    <brk id="35"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r:uid="{923A396B-BD6A-49BB-A371-843AA44CD594}">
          <x14:formula1>
            <xm:f>Validierung!$A$4:$A$7</xm:f>
          </x14:formula1>
          <xm:sqref>G5 G7 G9 G28 G41 G20 G22 G24 G33 G16 G18 G35 G37 G39 G31 G26 G11 G13</xm:sqref>
        </x14:dataValidation>
        <x14:dataValidation type="list" allowBlank="1" showInputMessage="1" showErrorMessage="1" xr:uid="{E0C4DA63-4F86-4261-8E26-4E049BD1310C}">
          <x14:formula1>
            <xm:f>Validierung!$B$4:$B$6</xm:f>
          </x14:formula1>
          <xm:sqref>H11 H9 H7 H18 H20 H37 H26 H24 H22 H16 H31 H33 H35 H41 H39 H28 H13 H5</xm:sqref>
        </x14:dataValidation>
        <x14:dataValidation type="list" allowBlank="1" showInputMessage="1" showErrorMessage="1" xr:uid="{26A5FE2C-6CA1-45B5-8E23-38B5F8A75389}">
          <x14:formula1>
            <xm:f>Validierung!$E$4:$E$6</xm:f>
          </x14:formula1>
          <xm:sqref>I5 I7 I9 I11 I13 I16 I18 I20 I22 I24 I26 I28 I31 I33 I35 I37 I39 I41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39B7-0124-4FE6-98C5-07FC51ABB0C8}">
  <sheetPr>
    <pageSetUpPr fitToPage="1"/>
  </sheetPr>
  <dimension ref="A1:J21"/>
  <sheetViews>
    <sheetView showGridLines="0" zoomScale="160" zoomScaleNormal="160" workbookViewId="0">
      <pane ySplit="1" topLeftCell="A3" activePane="bottomLeft" state="frozen"/>
      <selection pane="bottomLeft" activeCell="D15" sqref="D15"/>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34" customFormat="1" ht="33" customHeight="1">
      <c r="A1" s="86" t="s">
        <v>136</v>
      </c>
      <c r="B1" s="87"/>
      <c r="C1" s="87"/>
      <c r="D1" s="87"/>
      <c r="E1" s="87"/>
      <c r="F1" s="87"/>
      <c r="G1" s="87"/>
      <c r="H1" s="87"/>
      <c r="I1" s="87"/>
      <c r="J1" s="88"/>
    </row>
    <row r="2" spans="1:10" ht="25" hidden="1" customHeight="1">
      <c r="A2" s="1"/>
      <c r="B2" s="1"/>
      <c r="C2" s="1"/>
      <c r="D2" s="1"/>
      <c r="E2" s="1"/>
      <c r="F2" s="1"/>
      <c r="G2" s="1"/>
      <c r="H2" s="1"/>
      <c r="I2" s="1"/>
      <c r="J2" s="2"/>
    </row>
    <row r="3" spans="1:10" s="23" customFormat="1" ht="23.15" customHeight="1">
      <c r="A3" s="17" t="s">
        <v>4</v>
      </c>
      <c r="B3" s="17" t="s">
        <v>137</v>
      </c>
      <c r="C3" s="17"/>
      <c r="D3" s="17"/>
      <c r="E3" s="17"/>
      <c r="F3" s="17"/>
      <c r="G3" s="17"/>
      <c r="H3" s="17"/>
      <c r="I3" s="17"/>
      <c r="J3" s="17"/>
    </row>
    <row r="4" spans="1:10" s="37" customFormat="1" ht="23.15" customHeight="1">
      <c r="A4" s="36" t="s">
        <v>16</v>
      </c>
      <c r="B4" s="36" t="s">
        <v>88</v>
      </c>
      <c r="C4" s="36" t="s">
        <v>89</v>
      </c>
      <c r="D4" s="36" t="s">
        <v>90</v>
      </c>
      <c r="E4" s="36" t="s">
        <v>91</v>
      </c>
      <c r="F4" s="36" t="s">
        <v>123</v>
      </c>
      <c r="G4" s="36" t="s">
        <v>140</v>
      </c>
      <c r="H4" s="36" t="s">
        <v>124</v>
      </c>
      <c r="I4" s="36" t="s">
        <v>125</v>
      </c>
      <c r="J4" s="36" t="s">
        <v>126</v>
      </c>
    </row>
    <row r="5" spans="1:10" s="38" customFormat="1" ht="264" customHeight="1">
      <c r="A5" s="68" t="s">
        <v>138</v>
      </c>
      <c r="B5" s="26" t="s">
        <v>412</v>
      </c>
      <c r="C5" s="26" t="s">
        <v>413</v>
      </c>
      <c r="D5" s="26" t="s">
        <v>414</v>
      </c>
      <c r="E5" s="26" t="s">
        <v>139</v>
      </c>
      <c r="F5" s="28"/>
      <c r="G5" s="26" t="s">
        <v>95</v>
      </c>
      <c r="H5" s="26" t="s">
        <v>290</v>
      </c>
      <c r="I5" s="26" t="s">
        <v>215</v>
      </c>
      <c r="J5" s="26" t="s">
        <v>17</v>
      </c>
    </row>
    <row r="6" spans="1:10" s="37" customFormat="1" ht="23.15" customHeight="1">
      <c r="A6" s="36" t="s">
        <v>28</v>
      </c>
      <c r="B6" s="36" t="s">
        <v>88</v>
      </c>
      <c r="C6" s="36" t="s">
        <v>89</v>
      </c>
      <c r="D6" s="36" t="s">
        <v>90</v>
      </c>
      <c r="E6" s="36" t="s">
        <v>91</v>
      </c>
      <c r="F6" s="36" t="s">
        <v>123</v>
      </c>
      <c r="G6" s="36" t="s">
        <v>140</v>
      </c>
      <c r="H6" s="36" t="s">
        <v>124</v>
      </c>
      <c r="I6" s="36" t="s">
        <v>125</v>
      </c>
      <c r="J6" s="36" t="s">
        <v>126</v>
      </c>
    </row>
    <row r="7" spans="1:10" s="38" customFormat="1" ht="276.75" customHeight="1">
      <c r="A7" s="68" t="s">
        <v>190</v>
      </c>
      <c r="B7" s="26" t="s">
        <v>436</v>
      </c>
      <c r="C7" s="26" t="s">
        <v>437</v>
      </c>
      <c r="D7" s="26" t="s">
        <v>438</v>
      </c>
      <c r="E7" s="26" t="s">
        <v>191</v>
      </c>
      <c r="F7" s="28"/>
      <c r="G7" s="26" t="s">
        <v>212</v>
      </c>
      <c r="H7" s="26" t="s">
        <v>290</v>
      </c>
      <c r="I7" s="26" t="s">
        <v>215</v>
      </c>
      <c r="J7" s="26" t="s">
        <v>17</v>
      </c>
    </row>
    <row r="8" spans="1:10" s="37" customFormat="1" ht="23.15" customHeight="1">
      <c r="A8" s="36" t="s">
        <v>40</v>
      </c>
      <c r="B8" s="36" t="s">
        <v>88</v>
      </c>
      <c r="C8" s="36" t="s">
        <v>89</v>
      </c>
      <c r="D8" s="36" t="s">
        <v>90</v>
      </c>
      <c r="E8" s="36" t="s">
        <v>91</v>
      </c>
      <c r="F8" s="36" t="s">
        <v>123</v>
      </c>
      <c r="G8" s="36" t="s">
        <v>140</v>
      </c>
      <c r="H8" s="36" t="s">
        <v>124</v>
      </c>
      <c r="I8" s="36" t="s">
        <v>125</v>
      </c>
      <c r="J8" s="36" t="s">
        <v>126</v>
      </c>
    </row>
    <row r="9" spans="1:10" s="38" customFormat="1" ht="162.75" customHeight="1">
      <c r="A9" s="68" t="s">
        <v>192</v>
      </c>
      <c r="B9" s="26" t="s">
        <v>375</v>
      </c>
      <c r="C9" s="26" t="s">
        <v>400</v>
      </c>
      <c r="D9" s="26" t="s">
        <v>401</v>
      </c>
      <c r="E9" s="26" t="s">
        <v>193</v>
      </c>
      <c r="F9" s="28"/>
      <c r="G9" s="26" t="s">
        <v>212</v>
      </c>
      <c r="H9" s="26" t="s">
        <v>290</v>
      </c>
      <c r="I9" s="26" t="s">
        <v>215</v>
      </c>
      <c r="J9" s="28"/>
    </row>
    <row r="10" spans="1:10" s="37" customFormat="1" ht="23.15" customHeight="1">
      <c r="A10" s="36" t="s">
        <v>52</v>
      </c>
      <c r="B10" s="36" t="s">
        <v>88</v>
      </c>
      <c r="C10" s="36" t="s">
        <v>89</v>
      </c>
      <c r="D10" s="36" t="s">
        <v>90</v>
      </c>
      <c r="E10" s="36" t="s">
        <v>91</v>
      </c>
      <c r="F10" s="36" t="s">
        <v>123</v>
      </c>
      <c r="G10" s="36" t="s">
        <v>140</v>
      </c>
      <c r="H10" s="36" t="s">
        <v>124</v>
      </c>
      <c r="I10" s="36" t="s">
        <v>125</v>
      </c>
      <c r="J10" s="36" t="s">
        <v>126</v>
      </c>
    </row>
    <row r="11" spans="1:10" s="38" customFormat="1" ht="129.75" customHeight="1">
      <c r="A11" s="68" t="s">
        <v>195</v>
      </c>
      <c r="B11" s="26" t="s">
        <v>376</v>
      </c>
      <c r="C11" s="26" t="s">
        <v>196</v>
      </c>
      <c r="D11" s="26" t="s">
        <v>197</v>
      </c>
      <c r="E11" s="26" t="s">
        <v>194</v>
      </c>
      <c r="F11" s="28"/>
      <c r="G11" s="26" t="s">
        <v>95</v>
      </c>
      <c r="H11" s="26" t="s">
        <v>213</v>
      </c>
      <c r="I11" s="26" t="s">
        <v>94</v>
      </c>
      <c r="J11" s="28"/>
    </row>
    <row r="12" spans="1:10" s="37" customFormat="1" ht="23.15" customHeight="1">
      <c r="A12" s="36" t="s">
        <v>64</v>
      </c>
      <c r="B12" s="36" t="s">
        <v>88</v>
      </c>
      <c r="C12" s="36" t="s">
        <v>89</v>
      </c>
      <c r="D12" s="36" t="s">
        <v>90</v>
      </c>
      <c r="E12" s="36" t="s">
        <v>91</v>
      </c>
      <c r="F12" s="36" t="s">
        <v>123</v>
      </c>
      <c r="G12" s="36" t="s">
        <v>140</v>
      </c>
      <c r="H12" s="36" t="s">
        <v>124</v>
      </c>
      <c r="I12" s="36" t="s">
        <v>125</v>
      </c>
      <c r="J12" s="36" t="s">
        <v>126</v>
      </c>
    </row>
    <row r="13" spans="1:10" s="38" customFormat="1" ht="174.75" customHeight="1">
      <c r="A13" s="68" t="s">
        <v>201</v>
      </c>
      <c r="B13" s="35" t="s">
        <v>464</v>
      </c>
      <c r="C13" s="26" t="s">
        <v>200</v>
      </c>
      <c r="D13" s="35" t="s">
        <v>199</v>
      </c>
      <c r="E13" s="26" t="s">
        <v>198</v>
      </c>
      <c r="F13" s="28"/>
      <c r="G13" s="26" t="s">
        <v>95</v>
      </c>
      <c r="H13" s="26" t="s">
        <v>213</v>
      </c>
      <c r="I13" s="26" t="s">
        <v>94</v>
      </c>
      <c r="J13" s="28"/>
    </row>
    <row r="14" spans="1:10" s="37" customFormat="1" ht="23.15" customHeight="1">
      <c r="A14" s="36" t="s">
        <v>73</v>
      </c>
      <c r="B14" s="36" t="s">
        <v>88</v>
      </c>
      <c r="C14" s="36" t="s">
        <v>89</v>
      </c>
      <c r="D14" s="36" t="s">
        <v>90</v>
      </c>
      <c r="E14" s="36" t="s">
        <v>91</v>
      </c>
      <c r="F14" s="36" t="s">
        <v>123</v>
      </c>
      <c r="G14" s="36" t="s">
        <v>140</v>
      </c>
      <c r="H14" s="36" t="s">
        <v>124</v>
      </c>
      <c r="I14" s="36" t="s">
        <v>125</v>
      </c>
      <c r="J14" s="36" t="s">
        <v>126</v>
      </c>
    </row>
    <row r="15" spans="1:10" s="38" customFormat="1" ht="114" customHeight="1">
      <c r="A15" s="68" t="s">
        <v>202</v>
      </c>
      <c r="B15" s="26" t="s">
        <v>465</v>
      </c>
      <c r="C15" s="26" t="s">
        <v>203</v>
      </c>
      <c r="D15" s="26" t="s">
        <v>204</v>
      </c>
      <c r="E15" s="26" t="s">
        <v>205</v>
      </c>
      <c r="F15" s="28"/>
      <c r="G15" s="26" t="s">
        <v>212</v>
      </c>
      <c r="H15" s="26" t="s">
        <v>213</v>
      </c>
      <c r="I15" s="26" t="s">
        <v>94</v>
      </c>
      <c r="J15" s="28" t="s">
        <v>13</v>
      </c>
    </row>
    <row r="16" spans="1:10" s="37" customFormat="1" ht="23.15" customHeight="1">
      <c r="A16" s="36" t="s">
        <v>80</v>
      </c>
      <c r="B16" s="36" t="s">
        <v>88</v>
      </c>
      <c r="C16" s="36" t="s">
        <v>89</v>
      </c>
      <c r="D16" s="36" t="s">
        <v>90</v>
      </c>
      <c r="E16" s="36" t="s">
        <v>91</v>
      </c>
      <c r="F16" s="36" t="s">
        <v>123</v>
      </c>
      <c r="G16" s="36" t="s">
        <v>140</v>
      </c>
      <c r="H16" s="36" t="s">
        <v>124</v>
      </c>
      <c r="I16" s="36" t="s">
        <v>125</v>
      </c>
      <c r="J16" s="36" t="s">
        <v>126</v>
      </c>
    </row>
    <row r="17" spans="1:10" s="38" customFormat="1" ht="29.25" customHeight="1">
      <c r="A17" s="69" t="s">
        <v>141</v>
      </c>
      <c r="B17" s="85" t="s">
        <v>142</v>
      </c>
      <c r="C17" s="85"/>
      <c r="D17" s="85"/>
      <c r="E17" s="85"/>
      <c r="F17" s="28"/>
      <c r="G17" s="26" t="s">
        <v>95</v>
      </c>
      <c r="H17" s="26" t="s">
        <v>213</v>
      </c>
      <c r="I17" s="26" t="s">
        <v>94</v>
      </c>
      <c r="J17" s="28"/>
    </row>
    <row r="18" spans="1:10" s="37" customFormat="1" ht="23.15" customHeight="1">
      <c r="A18" s="18" t="s">
        <v>85</v>
      </c>
      <c r="B18" s="18" t="s">
        <v>88</v>
      </c>
      <c r="C18" s="18" t="s">
        <v>89</v>
      </c>
      <c r="D18" s="18" t="s">
        <v>90</v>
      </c>
      <c r="E18" s="18" t="s">
        <v>91</v>
      </c>
      <c r="F18" s="36" t="s">
        <v>123</v>
      </c>
      <c r="G18" s="36" t="s">
        <v>140</v>
      </c>
      <c r="H18" s="36" t="s">
        <v>124</v>
      </c>
      <c r="I18" s="36" t="s">
        <v>125</v>
      </c>
      <c r="J18" s="36" t="s">
        <v>126</v>
      </c>
    </row>
    <row r="19" spans="1:10" s="38" customFormat="1" ht="39" customHeight="1">
      <c r="A19" s="69" t="s">
        <v>439</v>
      </c>
      <c r="B19" s="85" t="s">
        <v>143</v>
      </c>
      <c r="C19" s="85"/>
      <c r="D19" s="85"/>
      <c r="E19" s="85"/>
      <c r="F19" s="28"/>
      <c r="G19" s="26" t="s">
        <v>95</v>
      </c>
      <c r="H19" s="26" t="s">
        <v>213</v>
      </c>
      <c r="I19" s="26" t="s">
        <v>94</v>
      </c>
      <c r="J19" s="28"/>
    </row>
    <row r="20" spans="1:10" s="37" customFormat="1" ht="23.15" customHeight="1">
      <c r="A20" s="18" t="s">
        <v>87</v>
      </c>
      <c r="B20" s="18" t="s">
        <v>88</v>
      </c>
      <c r="C20" s="18" t="s">
        <v>89</v>
      </c>
      <c r="D20" s="18" t="s">
        <v>90</v>
      </c>
      <c r="E20" s="18" t="s">
        <v>91</v>
      </c>
      <c r="F20" s="36" t="s">
        <v>123</v>
      </c>
      <c r="G20" s="36" t="s">
        <v>140</v>
      </c>
      <c r="H20" s="36" t="s">
        <v>124</v>
      </c>
      <c r="I20" s="36" t="s">
        <v>125</v>
      </c>
      <c r="J20" s="36" t="s">
        <v>126</v>
      </c>
    </row>
    <row r="21" spans="1:10" s="7" customFormat="1" ht="118.5" customHeight="1">
      <c r="A21" s="69" t="s">
        <v>440</v>
      </c>
      <c r="B21" s="26" t="s">
        <v>206</v>
      </c>
      <c r="C21" s="26" t="s">
        <v>402</v>
      </c>
      <c r="D21" s="26" t="s">
        <v>207</v>
      </c>
      <c r="E21" s="26" t="s">
        <v>129</v>
      </c>
      <c r="F21" s="28"/>
      <c r="G21" s="26" t="s">
        <v>95</v>
      </c>
      <c r="H21" s="26" t="s">
        <v>214</v>
      </c>
      <c r="I21" s="26" t="s">
        <v>215</v>
      </c>
      <c r="J21" s="28"/>
    </row>
  </sheetData>
  <mergeCells count="3">
    <mergeCell ref="A1:J1"/>
    <mergeCell ref="B19:E19"/>
    <mergeCell ref="B17:E17"/>
  </mergeCells>
  <conditionalFormatting sqref="B3:B1048576">
    <cfRule type="expression" dxfId="141" priority="12">
      <formula>#REF! = "A"</formula>
    </cfRule>
  </conditionalFormatting>
  <conditionalFormatting sqref="C3:C16 C18 C22:C1048576">
    <cfRule type="expression" dxfId="140" priority="148">
      <formula>#REF! = "B"</formula>
    </cfRule>
  </conditionalFormatting>
  <conditionalFormatting sqref="C20">
    <cfRule type="expression" dxfId="139" priority="65">
      <formula>#REF! = "B"</formula>
    </cfRule>
  </conditionalFormatting>
  <conditionalFormatting sqref="C21:D21">
    <cfRule type="expression" dxfId="138" priority="11">
      <formula>#REF! = "A"</formula>
    </cfRule>
  </conditionalFormatting>
  <conditionalFormatting sqref="D3:D16 D18 D20 D22:D1048576">
    <cfRule type="expression" dxfId="137" priority="149">
      <formula>#REF! = "C"</formula>
    </cfRule>
  </conditionalFormatting>
  <conditionalFormatting sqref="D9 E10:E16">
    <cfRule type="expression" dxfId="136" priority="150">
      <formula>#REF! = "D"</formula>
    </cfRule>
  </conditionalFormatting>
  <conditionalFormatting sqref="E4:E8">
    <cfRule type="expression" dxfId="135" priority="24">
      <formula>#REF! = "D"</formula>
    </cfRule>
  </conditionalFormatting>
  <conditionalFormatting sqref="E20:E1048576">
    <cfRule type="expression" dxfId="134" priority="67">
      <formula>#REF! = "D"</formula>
    </cfRule>
  </conditionalFormatting>
  <conditionalFormatting sqref="E3:J3">
    <cfRule type="expression" dxfId="133" priority="90">
      <formula>#REF! = "D"</formula>
    </cfRule>
  </conditionalFormatting>
  <conditionalFormatting sqref="E18:J18">
    <cfRule type="expression" dxfId="132" priority="2">
      <formula>#REF! = "D"</formula>
    </cfRule>
  </conditionalFormatting>
  <conditionalFormatting sqref="F4:J4">
    <cfRule type="expression" dxfId="131" priority="52">
      <formula>#REF! = "D"</formula>
    </cfRule>
  </conditionalFormatting>
  <conditionalFormatting sqref="F6:J6">
    <cfRule type="expression" dxfId="130" priority="10">
      <formula>#REF! = "D"</formula>
    </cfRule>
  </conditionalFormatting>
  <conditionalFormatting sqref="F8:J8">
    <cfRule type="expression" dxfId="129" priority="9">
      <formula>#REF! = "D"</formula>
    </cfRule>
  </conditionalFormatting>
  <conditionalFormatting sqref="F10:J10">
    <cfRule type="expression" dxfId="128" priority="8">
      <formula>#REF! = "D"</formula>
    </cfRule>
  </conditionalFormatting>
  <conditionalFormatting sqref="F12:J12">
    <cfRule type="expression" dxfId="127" priority="5">
      <formula>#REF! = "D"</formula>
    </cfRule>
  </conditionalFormatting>
  <conditionalFormatting sqref="F14:J14">
    <cfRule type="expression" dxfId="126" priority="4">
      <formula>#REF! = "D"</formula>
    </cfRule>
  </conditionalFormatting>
  <conditionalFormatting sqref="F16:J16">
    <cfRule type="expression" dxfId="125" priority="3">
      <formula>#REF! = "D"</formula>
    </cfRule>
  </conditionalFormatting>
  <conditionalFormatting sqref="F20:J20">
    <cfRule type="expression" dxfId="124" priority="1">
      <formula>#REF! = "D"</formula>
    </cfRule>
  </conditionalFormatting>
  <conditionalFormatting sqref="G9:I9">
    <cfRule type="expression" dxfId="123" priority="22">
      <formula>#REF! = "A"</formula>
    </cfRule>
  </conditionalFormatting>
  <conditionalFormatting sqref="G11:I11 G13:I13 G15:I15">
    <cfRule type="expression" dxfId="122" priority="36">
      <formula>#REF! = "A"</formula>
    </cfRule>
  </conditionalFormatting>
  <conditionalFormatting sqref="G17:I17">
    <cfRule type="expression" dxfId="121" priority="31">
      <formula>#REF! = "A"</formula>
    </cfRule>
  </conditionalFormatting>
  <conditionalFormatting sqref="G19:I19">
    <cfRule type="expression" dxfId="120" priority="38">
      <formula>#REF! = "A"</formula>
    </cfRule>
  </conditionalFormatting>
  <conditionalFormatting sqref="G21:I21">
    <cfRule type="expression" dxfId="119" priority="57">
      <formula>#REF! = "D"</formula>
    </cfRule>
  </conditionalFormatting>
  <conditionalFormatting sqref="G5:J5">
    <cfRule type="expression" dxfId="118" priority="21">
      <formula>#REF! = "A"</formula>
    </cfRule>
  </conditionalFormatting>
  <conditionalFormatting sqref="G7:J7">
    <cfRule type="expression" dxfId="117" priority="23">
      <formula>#REF! = "A"</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1" manualBreakCount="1">
    <brk id="11"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FF1F3E9-55E3-4794-8945-85DF789D7368}">
          <x14:formula1>
            <xm:f>Validierung!$A$4:$A$7</xm:f>
          </x14:formula1>
          <xm:sqref>G5 G9 G7 G19 G21 G17 G15 G11 G13</xm:sqref>
        </x14:dataValidation>
        <x14:dataValidation type="list" allowBlank="1" showInputMessage="1" showErrorMessage="1" xr:uid="{9413AD45-A3D2-462E-B877-DB4B944AA119}">
          <x14:formula1>
            <xm:f>Validierung!$B$4:$B$6</xm:f>
          </x14:formula1>
          <xm:sqref>H21 H9 H11 H7 H15 H19 H17 H13 H5</xm:sqref>
        </x14:dataValidation>
        <x14:dataValidation type="list" allowBlank="1" showInputMessage="1" showErrorMessage="1" xr:uid="{61263D62-DD04-4ED7-A1A6-D4BD9C23AFD7}">
          <x14:formula1>
            <xm:f>Validierung!$E$4:$E$6</xm:f>
          </x14:formula1>
          <xm:sqref>I5 I7 I9 I11 I13 I15 I17 I19 I21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209D-6E27-4E60-8C9F-E6686B23ED87}">
  <sheetPr>
    <pageSetUpPr fitToPage="1"/>
  </sheetPr>
  <dimension ref="A1:J28"/>
  <sheetViews>
    <sheetView showGridLines="0" zoomScale="160" zoomScaleNormal="160" workbookViewId="0">
      <pane ySplit="1" topLeftCell="A27" activePane="bottomLeft" state="frozen"/>
      <selection pane="bottomLeft" activeCell="A29" sqref="A29"/>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8" customFormat="1" ht="33" customHeight="1">
      <c r="A1" s="89" t="s">
        <v>217</v>
      </c>
      <c r="B1" s="90"/>
      <c r="C1" s="90"/>
      <c r="D1" s="90"/>
      <c r="E1" s="90"/>
      <c r="F1" s="90"/>
      <c r="G1" s="90"/>
      <c r="H1" s="90"/>
      <c r="I1" s="90"/>
      <c r="J1" s="91"/>
    </row>
    <row r="2" spans="1:10" ht="25" hidden="1" customHeight="1">
      <c r="A2" s="20"/>
      <c r="B2" s="20"/>
      <c r="C2" s="20"/>
      <c r="D2" s="20"/>
      <c r="E2" s="20"/>
      <c r="F2" s="20"/>
      <c r="G2" s="20"/>
      <c r="H2" s="20"/>
      <c r="I2" s="20"/>
      <c r="J2" s="20"/>
    </row>
    <row r="3" spans="1:10" s="29" customFormat="1" ht="23.15" customHeight="1">
      <c r="A3" s="44" t="s">
        <v>5</v>
      </c>
      <c r="B3" s="44" t="s">
        <v>218</v>
      </c>
      <c r="C3" s="44"/>
      <c r="D3" s="44"/>
      <c r="E3" s="44"/>
      <c r="F3" s="44"/>
      <c r="G3" s="44"/>
      <c r="H3" s="44"/>
      <c r="I3" s="44"/>
      <c r="J3" s="44"/>
    </row>
    <row r="4" spans="1:10" s="29" customFormat="1" ht="23.15" customHeight="1">
      <c r="A4" s="45" t="s">
        <v>17</v>
      </c>
      <c r="B4" s="45" t="s">
        <v>88</v>
      </c>
      <c r="C4" s="45" t="s">
        <v>89</v>
      </c>
      <c r="D4" s="45" t="s">
        <v>90</v>
      </c>
      <c r="E4" s="45" t="s">
        <v>91</v>
      </c>
      <c r="F4" s="36" t="s">
        <v>123</v>
      </c>
      <c r="G4" s="36" t="s">
        <v>140</v>
      </c>
      <c r="H4" s="36" t="s">
        <v>124</v>
      </c>
      <c r="I4" s="36" t="s">
        <v>125</v>
      </c>
      <c r="J4" s="36" t="s">
        <v>126</v>
      </c>
    </row>
    <row r="5" spans="1:10" s="39" customFormat="1" ht="150.5">
      <c r="A5" s="70" t="s">
        <v>220</v>
      </c>
      <c r="B5" s="41" t="s">
        <v>221</v>
      </c>
      <c r="C5" s="41" t="s">
        <v>222</v>
      </c>
      <c r="D5" s="41" t="s">
        <v>223</v>
      </c>
      <c r="E5" s="40" t="s">
        <v>224</v>
      </c>
      <c r="F5" s="40" t="s">
        <v>219</v>
      </c>
      <c r="G5" s="40" t="s">
        <v>95</v>
      </c>
      <c r="H5" s="40" t="s">
        <v>290</v>
      </c>
      <c r="I5" s="40" t="s">
        <v>215</v>
      </c>
      <c r="J5" s="41" t="s">
        <v>391</v>
      </c>
    </row>
    <row r="6" spans="1:10" s="29" customFormat="1" ht="23.15" customHeight="1">
      <c r="A6" s="45" t="s">
        <v>29</v>
      </c>
      <c r="B6" s="45" t="s">
        <v>88</v>
      </c>
      <c r="C6" s="45" t="s">
        <v>89</v>
      </c>
      <c r="D6" s="45" t="s">
        <v>90</v>
      </c>
      <c r="E6" s="45" t="s">
        <v>91</v>
      </c>
      <c r="F6" s="36" t="s">
        <v>123</v>
      </c>
      <c r="G6" s="36" t="s">
        <v>140</v>
      </c>
      <c r="H6" s="36" t="s">
        <v>124</v>
      </c>
      <c r="I6" s="36" t="s">
        <v>125</v>
      </c>
      <c r="J6" s="36" t="s">
        <v>126</v>
      </c>
    </row>
    <row r="7" spans="1:10" ht="196.5" customHeight="1">
      <c r="A7" s="70" t="s">
        <v>225</v>
      </c>
      <c r="B7" s="40" t="s">
        <v>408</v>
      </c>
      <c r="C7" s="40" t="s">
        <v>410</v>
      </c>
      <c r="D7" s="40" t="s">
        <v>409</v>
      </c>
      <c r="E7" s="40" t="s">
        <v>139</v>
      </c>
      <c r="F7" s="40"/>
      <c r="G7" s="40" t="s">
        <v>95</v>
      </c>
      <c r="H7" s="40" t="s">
        <v>290</v>
      </c>
      <c r="I7" s="40" t="s">
        <v>215</v>
      </c>
      <c r="J7" s="41" t="s">
        <v>17</v>
      </c>
    </row>
    <row r="8" spans="1:10" s="29" customFormat="1" ht="23.15" customHeight="1">
      <c r="A8" s="45" t="s">
        <v>41</v>
      </c>
      <c r="B8" s="45"/>
      <c r="C8" s="45" t="s">
        <v>89</v>
      </c>
      <c r="D8" s="45" t="s">
        <v>90</v>
      </c>
      <c r="E8" s="45" t="s">
        <v>91</v>
      </c>
      <c r="F8" s="36" t="s">
        <v>123</v>
      </c>
      <c r="G8" s="36" t="s">
        <v>140</v>
      </c>
      <c r="H8" s="36" t="s">
        <v>124</v>
      </c>
      <c r="I8" s="36" t="s">
        <v>125</v>
      </c>
      <c r="J8" s="36" t="s">
        <v>126</v>
      </c>
    </row>
    <row r="9" spans="1:10" ht="129.75" customHeight="1">
      <c r="A9" s="70" t="s">
        <v>226</v>
      </c>
      <c r="B9" s="40" t="s">
        <v>228</v>
      </c>
      <c r="C9" s="40" t="s">
        <v>229</v>
      </c>
      <c r="D9" s="40" t="s">
        <v>230</v>
      </c>
      <c r="E9" s="40" t="s">
        <v>227</v>
      </c>
      <c r="F9" s="40"/>
      <c r="G9" s="40" t="s">
        <v>95</v>
      </c>
      <c r="H9" s="42" t="s">
        <v>290</v>
      </c>
      <c r="I9" s="42" t="s">
        <v>215</v>
      </c>
      <c r="J9" s="40" t="s">
        <v>100</v>
      </c>
    </row>
    <row r="10" spans="1:10" s="29" customFormat="1" ht="23.15" customHeight="1">
      <c r="A10" s="45" t="s">
        <v>53</v>
      </c>
      <c r="B10" s="45" t="s">
        <v>88</v>
      </c>
      <c r="C10" s="45" t="s">
        <v>89</v>
      </c>
      <c r="D10" s="45" t="s">
        <v>90</v>
      </c>
      <c r="E10" s="45" t="s">
        <v>91</v>
      </c>
      <c r="F10" s="36" t="s">
        <v>123</v>
      </c>
      <c r="G10" s="36" t="s">
        <v>140</v>
      </c>
      <c r="H10" s="36" t="s">
        <v>124</v>
      </c>
      <c r="I10" s="36" t="s">
        <v>125</v>
      </c>
      <c r="J10" s="36" t="s">
        <v>126</v>
      </c>
    </row>
    <row r="11" spans="1:10" ht="177.75" customHeight="1">
      <c r="A11" s="70" t="s">
        <v>231</v>
      </c>
      <c r="B11" s="41" t="s">
        <v>236</v>
      </c>
      <c r="C11" s="40" t="s">
        <v>234</v>
      </c>
      <c r="D11" s="40" t="s">
        <v>235</v>
      </c>
      <c r="E11" s="40" t="s">
        <v>232</v>
      </c>
      <c r="F11" s="40" t="s">
        <v>233</v>
      </c>
      <c r="G11" s="40" t="s">
        <v>211</v>
      </c>
      <c r="H11" s="42" t="s">
        <v>290</v>
      </c>
      <c r="I11" s="42" t="s">
        <v>215</v>
      </c>
      <c r="J11" s="40" t="s">
        <v>101</v>
      </c>
    </row>
    <row r="12" spans="1:10" s="29" customFormat="1" ht="23.15" customHeight="1">
      <c r="A12" s="45" t="s">
        <v>65</v>
      </c>
      <c r="B12" s="45" t="s">
        <v>88</v>
      </c>
      <c r="C12" s="45" t="s">
        <v>89</v>
      </c>
      <c r="D12" s="45" t="s">
        <v>90</v>
      </c>
      <c r="E12" s="45" t="s">
        <v>91</v>
      </c>
      <c r="F12" s="36" t="s">
        <v>123</v>
      </c>
      <c r="G12" s="36" t="s">
        <v>140</v>
      </c>
      <c r="H12" s="36" t="s">
        <v>124</v>
      </c>
      <c r="I12" s="36" t="s">
        <v>125</v>
      </c>
      <c r="J12" s="36" t="s">
        <v>126</v>
      </c>
    </row>
    <row r="13" spans="1:10" ht="36" customHeight="1">
      <c r="A13" s="70" t="s">
        <v>237</v>
      </c>
      <c r="B13" s="85" t="s">
        <v>13</v>
      </c>
      <c r="C13" s="85"/>
      <c r="D13" s="85"/>
      <c r="E13" s="85"/>
      <c r="F13" s="40"/>
      <c r="G13" s="40" t="s">
        <v>211</v>
      </c>
      <c r="H13" s="42" t="s">
        <v>290</v>
      </c>
      <c r="I13" s="42" t="s">
        <v>215</v>
      </c>
      <c r="J13" s="40"/>
    </row>
    <row r="14" spans="1:10" s="29" customFormat="1" ht="23.15" customHeight="1">
      <c r="A14" s="45" t="s">
        <v>74</v>
      </c>
      <c r="B14" s="45" t="s">
        <v>88</v>
      </c>
      <c r="C14" s="45" t="s">
        <v>89</v>
      </c>
      <c r="D14" s="45" t="s">
        <v>90</v>
      </c>
      <c r="E14" s="45" t="s">
        <v>91</v>
      </c>
      <c r="F14" s="36" t="s">
        <v>123</v>
      </c>
      <c r="G14" s="36" t="s">
        <v>140</v>
      </c>
      <c r="H14" s="36" t="s">
        <v>124</v>
      </c>
      <c r="I14" s="36" t="s">
        <v>125</v>
      </c>
      <c r="J14" s="36" t="s">
        <v>126</v>
      </c>
    </row>
    <row r="15" spans="1:10" ht="233.25" customHeight="1">
      <c r="A15" s="70" t="s">
        <v>238</v>
      </c>
      <c r="B15" s="41" t="s">
        <v>240</v>
      </c>
      <c r="C15" s="41" t="s">
        <v>445</v>
      </c>
      <c r="D15" s="41" t="s">
        <v>444</v>
      </c>
      <c r="E15" s="40" t="s">
        <v>239</v>
      </c>
      <c r="F15" s="40" t="s">
        <v>241</v>
      </c>
      <c r="G15" s="40" t="s">
        <v>212</v>
      </c>
      <c r="H15" s="42" t="s">
        <v>290</v>
      </c>
      <c r="I15" s="42" t="s">
        <v>94</v>
      </c>
      <c r="J15" s="40" t="s">
        <v>102</v>
      </c>
    </row>
    <row r="16" spans="1:10" s="29" customFormat="1" ht="23.15" customHeight="1">
      <c r="A16" s="45" t="s">
        <v>81</v>
      </c>
      <c r="B16" s="45" t="s">
        <v>88</v>
      </c>
      <c r="C16" s="45" t="s">
        <v>89</v>
      </c>
      <c r="D16" s="45" t="s">
        <v>90</v>
      </c>
      <c r="E16" s="45" t="s">
        <v>91</v>
      </c>
      <c r="F16" s="36" t="s">
        <v>123</v>
      </c>
      <c r="G16" s="36" t="s">
        <v>140</v>
      </c>
      <c r="H16" s="36" t="s">
        <v>124</v>
      </c>
      <c r="I16" s="36" t="s">
        <v>125</v>
      </c>
      <c r="J16" s="36" t="s">
        <v>126</v>
      </c>
    </row>
    <row r="17" spans="1:10" s="4" customFormat="1" ht="333" customHeight="1">
      <c r="A17" s="70" t="s">
        <v>242</v>
      </c>
      <c r="B17" s="41" t="s">
        <v>244</v>
      </c>
      <c r="C17" s="40" t="s">
        <v>245</v>
      </c>
      <c r="D17" s="40" t="s">
        <v>452</v>
      </c>
      <c r="E17" s="40" t="s">
        <v>243</v>
      </c>
      <c r="F17" s="40"/>
      <c r="G17" s="40" t="s">
        <v>212</v>
      </c>
      <c r="H17" s="42" t="s">
        <v>213</v>
      </c>
      <c r="I17" s="42" t="s">
        <v>94</v>
      </c>
      <c r="J17" s="40" t="s">
        <v>103</v>
      </c>
    </row>
    <row r="18" spans="1:10" s="29" customFormat="1" ht="23.15" customHeight="1">
      <c r="A18" s="45" t="s">
        <v>86</v>
      </c>
      <c r="B18" s="45" t="s">
        <v>88</v>
      </c>
      <c r="C18" s="45" t="s">
        <v>89</v>
      </c>
      <c r="D18" s="45" t="s">
        <v>90</v>
      </c>
      <c r="E18" s="45" t="s">
        <v>91</v>
      </c>
      <c r="F18" s="36" t="s">
        <v>123</v>
      </c>
      <c r="G18" s="36" t="s">
        <v>140</v>
      </c>
      <c r="H18" s="36" t="s">
        <v>124</v>
      </c>
      <c r="I18" s="36" t="s">
        <v>125</v>
      </c>
      <c r="J18" s="36" t="s">
        <v>126</v>
      </c>
    </row>
    <row r="19" spans="1:10" s="4" customFormat="1" ht="128.25" customHeight="1">
      <c r="A19" s="70" t="s">
        <v>246</v>
      </c>
      <c r="B19" s="40" t="s">
        <v>247</v>
      </c>
      <c r="C19" s="40" t="s">
        <v>446</v>
      </c>
      <c r="D19" s="40" t="s">
        <v>248</v>
      </c>
      <c r="E19" s="40" t="s">
        <v>129</v>
      </c>
      <c r="F19" s="43"/>
      <c r="G19" s="40" t="s">
        <v>95</v>
      </c>
      <c r="H19" s="40" t="s">
        <v>214</v>
      </c>
      <c r="I19" s="40" t="s">
        <v>215</v>
      </c>
      <c r="J19" s="42"/>
    </row>
    <row r="20" spans="1:10" s="4" customFormat="1" ht="25" customHeight="1">
      <c r="A20" s="44" t="s">
        <v>6</v>
      </c>
      <c r="B20" s="44" t="s">
        <v>249</v>
      </c>
      <c r="C20" s="44"/>
      <c r="D20" s="44"/>
      <c r="E20" s="44"/>
      <c r="F20" s="44"/>
      <c r="G20" s="44"/>
      <c r="H20" s="44"/>
      <c r="I20" s="44"/>
      <c r="J20" s="44"/>
    </row>
    <row r="21" spans="1:10" s="29" customFormat="1" ht="23.15" customHeight="1">
      <c r="A21" s="45" t="s">
        <v>18</v>
      </c>
      <c r="B21" s="45" t="s">
        <v>88</v>
      </c>
      <c r="C21" s="45" t="s">
        <v>89</v>
      </c>
      <c r="D21" s="45" t="s">
        <v>90</v>
      </c>
      <c r="E21" s="45" t="s">
        <v>91</v>
      </c>
      <c r="F21" s="36" t="s">
        <v>123</v>
      </c>
      <c r="G21" s="36" t="s">
        <v>140</v>
      </c>
      <c r="H21" s="36" t="s">
        <v>124</v>
      </c>
      <c r="I21" s="36" t="s">
        <v>125</v>
      </c>
      <c r="J21" s="36" t="s">
        <v>126</v>
      </c>
    </row>
    <row r="22" spans="1:10" ht="186.75" customHeight="1">
      <c r="A22" s="70" t="s">
        <v>250</v>
      </c>
      <c r="B22" s="40" t="s">
        <v>411</v>
      </c>
      <c r="C22" s="40" t="s">
        <v>447</v>
      </c>
      <c r="D22" s="40" t="s">
        <v>448</v>
      </c>
      <c r="E22" s="40" t="s">
        <v>139</v>
      </c>
      <c r="F22" s="40"/>
      <c r="G22" s="40" t="s">
        <v>95</v>
      </c>
      <c r="H22" s="40" t="s">
        <v>290</v>
      </c>
      <c r="I22" s="40" t="s">
        <v>215</v>
      </c>
      <c r="J22" s="41" t="s">
        <v>17</v>
      </c>
    </row>
    <row r="23" spans="1:10" s="29" customFormat="1" ht="23.15" customHeight="1">
      <c r="A23" s="45" t="s">
        <v>30</v>
      </c>
      <c r="B23" s="45" t="s">
        <v>88</v>
      </c>
      <c r="C23" s="45" t="s">
        <v>89</v>
      </c>
      <c r="D23" s="45" t="s">
        <v>90</v>
      </c>
      <c r="E23" s="45" t="s">
        <v>91</v>
      </c>
      <c r="F23" s="36" t="s">
        <v>123</v>
      </c>
      <c r="G23" s="36" t="s">
        <v>140</v>
      </c>
      <c r="H23" s="36" t="s">
        <v>124</v>
      </c>
      <c r="I23" s="36" t="s">
        <v>125</v>
      </c>
      <c r="J23" s="36" t="s">
        <v>126</v>
      </c>
    </row>
    <row r="24" spans="1:10" ht="195.75" customHeight="1">
      <c r="A24" s="70" t="s">
        <v>449</v>
      </c>
      <c r="B24" s="41" t="s">
        <v>450</v>
      </c>
      <c r="C24" s="41" t="s">
        <v>253</v>
      </c>
      <c r="D24" s="41" t="s">
        <v>252</v>
      </c>
      <c r="E24" s="40" t="s">
        <v>251</v>
      </c>
      <c r="F24" s="42"/>
      <c r="G24" s="42" t="s">
        <v>212</v>
      </c>
      <c r="H24" s="40" t="s">
        <v>290</v>
      </c>
      <c r="I24" s="40" t="s">
        <v>94</v>
      </c>
      <c r="J24" s="42"/>
    </row>
    <row r="25" spans="1:10" s="29" customFormat="1" ht="23.15" customHeight="1">
      <c r="A25" s="45" t="s">
        <v>42</v>
      </c>
      <c r="B25" s="45" t="s">
        <v>88</v>
      </c>
      <c r="C25" s="45" t="s">
        <v>89</v>
      </c>
      <c r="D25" s="45" t="s">
        <v>90</v>
      </c>
      <c r="E25" s="45" t="s">
        <v>91</v>
      </c>
      <c r="F25" s="36" t="s">
        <v>123</v>
      </c>
      <c r="G25" s="36" t="s">
        <v>140</v>
      </c>
      <c r="H25" s="36" t="s">
        <v>124</v>
      </c>
      <c r="I25" s="36" t="s">
        <v>125</v>
      </c>
      <c r="J25" s="36" t="s">
        <v>126</v>
      </c>
    </row>
    <row r="26" spans="1:10" ht="272.5">
      <c r="A26" s="70" t="s">
        <v>254</v>
      </c>
      <c r="B26" s="41" t="s">
        <v>441</v>
      </c>
      <c r="C26" s="41" t="s">
        <v>442</v>
      </c>
      <c r="D26" s="41" t="s">
        <v>443</v>
      </c>
      <c r="E26" s="40" t="s">
        <v>255</v>
      </c>
      <c r="F26" s="42"/>
      <c r="G26" s="42" t="s">
        <v>212</v>
      </c>
      <c r="H26" s="42" t="s">
        <v>213</v>
      </c>
      <c r="I26" s="42" t="s">
        <v>94</v>
      </c>
      <c r="J26" s="42"/>
    </row>
    <row r="27" spans="1:10" s="29" customFormat="1" ht="23.15" customHeight="1">
      <c r="A27" s="45" t="s">
        <v>54</v>
      </c>
      <c r="B27" s="45" t="s">
        <v>88</v>
      </c>
      <c r="C27" s="45" t="s">
        <v>89</v>
      </c>
      <c r="D27" s="45" t="s">
        <v>90</v>
      </c>
      <c r="E27" s="45" t="s">
        <v>91</v>
      </c>
      <c r="F27" s="36" t="s">
        <v>123</v>
      </c>
      <c r="G27" s="36" t="s">
        <v>140</v>
      </c>
      <c r="H27" s="36" t="s">
        <v>124</v>
      </c>
      <c r="I27" s="36" t="s">
        <v>125</v>
      </c>
      <c r="J27" s="36" t="s">
        <v>126</v>
      </c>
    </row>
    <row r="28" spans="1:10" s="8" customFormat="1" ht="100.5">
      <c r="A28" s="70" t="s">
        <v>256</v>
      </c>
      <c r="B28" s="40" t="s">
        <v>258</v>
      </c>
      <c r="C28" s="40" t="s">
        <v>257</v>
      </c>
      <c r="D28" s="40" t="s">
        <v>451</v>
      </c>
      <c r="E28" s="40" t="s">
        <v>129</v>
      </c>
      <c r="F28" s="43"/>
      <c r="G28" s="40" t="s">
        <v>95</v>
      </c>
      <c r="H28" s="40" t="s">
        <v>214</v>
      </c>
      <c r="I28" s="40" t="s">
        <v>215</v>
      </c>
      <c r="J28" s="42"/>
    </row>
  </sheetData>
  <mergeCells count="2">
    <mergeCell ref="A1:J1"/>
    <mergeCell ref="B13:E13"/>
  </mergeCells>
  <conditionalFormatting sqref="B3:B4">
    <cfRule type="expression" dxfId="116" priority="93">
      <formula>#REF! = "A"</formula>
    </cfRule>
  </conditionalFormatting>
  <conditionalFormatting sqref="B6:B1048576">
    <cfRule type="expression" dxfId="115" priority="14">
      <formula>#REF! = "A"</formula>
    </cfRule>
  </conditionalFormatting>
  <conditionalFormatting sqref="C3:C4 C27">
    <cfRule type="expression" dxfId="114" priority="94">
      <formula>#REF! = "B"</formula>
    </cfRule>
  </conditionalFormatting>
  <conditionalFormatting sqref="C6:C12">
    <cfRule type="expression" dxfId="113" priority="47">
      <formula>#REF! = "B"</formula>
    </cfRule>
  </conditionalFormatting>
  <conditionalFormatting sqref="C14 C25 C29:C1048576">
    <cfRule type="expression" dxfId="112" priority="195">
      <formula>#REF! = "B"</formula>
    </cfRule>
  </conditionalFormatting>
  <conditionalFormatting sqref="C16:C18">
    <cfRule type="expression" dxfId="111" priority="28">
      <formula>#REF! = "B"</formula>
    </cfRule>
  </conditionalFormatting>
  <conditionalFormatting sqref="C20:C23">
    <cfRule type="expression" dxfId="110" priority="66">
      <formula>#REF! = "B"</formula>
    </cfRule>
  </conditionalFormatting>
  <conditionalFormatting sqref="C15:D15">
    <cfRule type="expression" dxfId="109" priority="56">
      <formula>#REF! = "A"</formula>
    </cfRule>
  </conditionalFormatting>
  <conditionalFormatting sqref="C19:D19">
    <cfRule type="expression" dxfId="108" priority="15">
      <formula>#REF! = "A"</formula>
    </cfRule>
  </conditionalFormatting>
  <conditionalFormatting sqref="C24:D24">
    <cfRule type="expression" dxfId="107" priority="38">
      <formula>#REF! = "A"</formula>
    </cfRule>
  </conditionalFormatting>
  <conditionalFormatting sqref="C26:D26">
    <cfRule type="expression" dxfId="106" priority="36">
      <formula>#REF! = "A"</formula>
    </cfRule>
  </conditionalFormatting>
  <conditionalFormatting sqref="C28:D28">
    <cfRule type="expression" dxfId="105" priority="13">
      <formula>#REF! = "A"</formula>
    </cfRule>
  </conditionalFormatting>
  <conditionalFormatting sqref="D3:D4 D27">
    <cfRule type="expression" dxfId="104" priority="95">
      <formula>#REF! = "C"</formula>
    </cfRule>
  </conditionalFormatting>
  <conditionalFormatting sqref="D6">
    <cfRule type="expression" dxfId="103" priority="54">
      <formula>#REF! = "C"</formula>
    </cfRule>
  </conditionalFormatting>
  <conditionalFormatting sqref="D7">
    <cfRule type="expression" dxfId="102" priority="45">
      <formula>#REF! = "B"</formula>
    </cfRule>
  </conditionalFormatting>
  <conditionalFormatting sqref="D8">
    <cfRule type="expression" dxfId="101" priority="62">
      <formula>#REF! = "C"</formula>
    </cfRule>
  </conditionalFormatting>
  <conditionalFormatting sqref="D9">
    <cfRule type="expression" dxfId="100" priority="58">
      <formula>#REF! = "B"</formula>
    </cfRule>
  </conditionalFormatting>
  <conditionalFormatting sqref="D10:D12 D14 D23 D25 D29:D1048576">
    <cfRule type="expression" dxfId="99" priority="196">
      <formula>#REF! = "C"</formula>
    </cfRule>
  </conditionalFormatting>
  <conditionalFormatting sqref="D16:D18">
    <cfRule type="expression" dxfId="98" priority="29">
      <formula>#REF! = "C"</formula>
    </cfRule>
  </conditionalFormatting>
  <conditionalFormatting sqref="D20:D21">
    <cfRule type="expression" dxfId="97" priority="73">
      <formula>#REF! = "C"</formula>
    </cfRule>
  </conditionalFormatting>
  <conditionalFormatting sqref="D22">
    <cfRule type="expression" dxfId="96" priority="64">
      <formula>#REF! = "B"</formula>
    </cfRule>
  </conditionalFormatting>
  <conditionalFormatting sqref="E6:E12">
    <cfRule type="expression" dxfId="95" priority="48">
      <formula>#REF! = "D"</formula>
    </cfRule>
  </conditionalFormatting>
  <conditionalFormatting sqref="E14:E19">
    <cfRule type="expression" dxfId="94" priority="34">
      <formula>#REF! = "D"</formula>
    </cfRule>
  </conditionalFormatting>
  <conditionalFormatting sqref="E27:E1048576">
    <cfRule type="expression" dxfId="93" priority="109">
      <formula>#REF! = "D"</formula>
    </cfRule>
  </conditionalFormatting>
  <conditionalFormatting sqref="E3:J5">
    <cfRule type="expression" dxfId="92" priority="12">
      <formula>#REF! = "D"</formula>
    </cfRule>
  </conditionalFormatting>
  <conditionalFormatting sqref="E20:J23">
    <cfRule type="expression" dxfId="91" priority="3">
      <formula>#REF! = "D"</formula>
    </cfRule>
  </conditionalFormatting>
  <conditionalFormatting sqref="E25:J25">
    <cfRule type="expression" dxfId="90" priority="2">
      <formula>#REF! = "D"</formula>
    </cfRule>
  </conditionalFormatting>
  <conditionalFormatting sqref="F9:G9 F11:G11 F13:G13 F15:G15 F17:G17">
    <cfRule type="expression" dxfId="89" priority="197">
      <formula>#REF! = "D"</formula>
    </cfRule>
  </conditionalFormatting>
  <conditionalFormatting sqref="F6:J8">
    <cfRule type="expression" dxfId="88" priority="10">
      <formula>#REF! = "D"</formula>
    </cfRule>
  </conditionalFormatting>
  <conditionalFormatting sqref="F10:J10">
    <cfRule type="expression" dxfId="87" priority="9">
      <formula>#REF! = "D"</formula>
    </cfRule>
  </conditionalFormatting>
  <conditionalFormatting sqref="F12:J12">
    <cfRule type="expression" dxfId="86" priority="8">
      <formula>#REF! = "D"</formula>
    </cfRule>
  </conditionalFormatting>
  <conditionalFormatting sqref="F14:J14">
    <cfRule type="expression" dxfId="85" priority="7">
      <formula>#REF! = "D"</formula>
    </cfRule>
  </conditionalFormatting>
  <conditionalFormatting sqref="F16:J16">
    <cfRule type="expression" dxfId="84" priority="6">
      <formula>#REF! = "D"</formula>
    </cfRule>
  </conditionalFormatting>
  <conditionalFormatting sqref="F18:J18">
    <cfRule type="expression" dxfId="83" priority="5">
      <formula>#REF! = "D"</formula>
    </cfRule>
  </conditionalFormatting>
  <conditionalFormatting sqref="F27:J27">
    <cfRule type="expression" dxfId="82" priority="1">
      <formula>#REF! = "D"</formula>
    </cfRule>
  </conditionalFormatting>
  <conditionalFormatting sqref="G19:I19">
    <cfRule type="expression" dxfId="81" priority="31">
      <formula>#REF! = "D"</formula>
    </cfRule>
  </conditionalFormatting>
  <conditionalFormatting sqref="G28:I28">
    <cfRule type="expression" dxfId="80" priority="99">
      <formula>#REF! = "D"</formula>
    </cfRule>
  </conditionalFormatting>
  <conditionalFormatting sqref="H24:I24">
    <cfRule type="expression" dxfId="79" priority="40">
      <formula>#REF! = "D"</formula>
    </cfRule>
  </conditionalFormatting>
  <conditionalFormatting sqref="J9 J11 J13 J15 J17">
    <cfRule type="expression" dxfId="78" priority="33">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5" max="16383" man="1"/>
    <brk id="24" max="16383" man="1"/>
  </rowBreaks>
  <extLst>
    <ext xmlns:x14="http://schemas.microsoft.com/office/spreadsheetml/2009/9/main" uri="{CCE6A557-97BC-4b89-ADB6-D9C93CAAB3DF}">
      <x14:dataValidations xmlns:xm="http://schemas.microsoft.com/office/excel/2006/main" count="4">
        <x14:dataValidation type="list" allowBlank="1" showInputMessage="1" showErrorMessage="1" xr:uid="{34C77118-6DFF-49B8-A031-32DB03BE4CB4}">
          <x14:formula1>
            <xm:f>Validierung!$B$4:$B$6</xm:f>
          </x14:formula1>
          <xm:sqref>H15 H28 H22 H26 H17 H13 H9 H11 H7 H24 H19 H5</xm:sqref>
        </x14:dataValidation>
        <x14:dataValidation type="list" allowBlank="1" showInputMessage="1" showErrorMessage="1" xr:uid="{EBC2F977-C876-4944-81C8-C6AC58DEDC98}">
          <x14:formula1>
            <xm:f>Validierung!$A$4:$A$7</xm:f>
          </x14:formula1>
          <xm:sqref>G11 G13 G15 G24 G26 G28 G9 G17 G19</xm:sqref>
        </x14:dataValidation>
        <x14:dataValidation type="list" allowBlank="1" showInputMessage="1" showErrorMessage="1" xr:uid="{D05ACEAD-779D-4303-B256-A7204FC479EB}">
          <x14:formula1>
            <xm:f>Validierung!$A$4:$A$5</xm:f>
          </x14:formula1>
          <xm:sqref>G7 G5 G22</xm:sqref>
        </x14:dataValidation>
        <x14:dataValidation type="list" allowBlank="1" showInputMessage="1" showErrorMessage="1" xr:uid="{316D45C8-0573-49B8-BEEF-53B680957F14}">
          <x14:formula1>
            <xm:f>Validierung!$E$4:$E$6</xm:f>
          </x14:formula1>
          <xm:sqref>I5 I7 I9 I11 I13 I15 I17 I19 I22 I24 I26 I28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977B-B522-4AFA-9986-3BE0A8F11FA4}">
  <sheetPr>
    <pageSetUpPr fitToPage="1"/>
  </sheetPr>
  <dimension ref="A1:J28"/>
  <sheetViews>
    <sheetView showGridLines="0" zoomScale="160" zoomScaleNormal="160" zoomScaleSheetLayoutView="85" workbookViewId="0">
      <pane ySplit="1" topLeftCell="A18" activePane="bottomLeft" state="frozen"/>
      <selection pane="bottomLeft" activeCell="B22" sqref="B22"/>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ht="33" customHeight="1">
      <c r="A1" s="89" t="s">
        <v>392</v>
      </c>
      <c r="B1" s="90"/>
      <c r="C1" s="90"/>
      <c r="D1" s="90"/>
      <c r="E1" s="90"/>
      <c r="F1" s="90"/>
      <c r="G1" s="90"/>
      <c r="H1" s="90"/>
      <c r="I1" s="90"/>
      <c r="J1" s="91"/>
    </row>
    <row r="2" spans="1:10" s="4" customFormat="1" ht="25" hidden="1" customHeight="1">
      <c r="A2" s="9"/>
      <c r="B2" s="9"/>
      <c r="C2" s="9"/>
      <c r="D2" s="9"/>
      <c r="E2" s="9"/>
      <c r="F2" s="9"/>
      <c r="G2" s="9"/>
      <c r="H2" s="9"/>
      <c r="I2" s="9"/>
      <c r="J2" s="10"/>
    </row>
    <row r="3" spans="1:10" s="46" customFormat="1" ht="23.15" customHeight="1">
      <c r="A3" s="50" t="s">
        <v>7</v>
      </c>
      <c r="B3" s="50" t="s">
        <v>259</v>
      </c>
      <c r="C3" s="50"/>
      <c r="D3" s="50"/>
      <c r="E3" s="50"/>
      <c r="F3" s="50"/>
      <c r="G3" s="50"/>
      <c r="H3" s="50"/>
      <c r="I3" s="50"/>
      <c r="J3" s="50"/>
    </row>
    <row r="4" spans="1:10" s="46" customFormat="1" ht="23.15" customHeight="1">
      <c r="A4" s="51" t="s">
        <v>19</v>
      </c>
      <c r="B4" s="51" t="s">
        <v>88</v>
      </c>
      <c r="C4" s="51" t="s">
        <v>89</v>
      </c>
      <c r="D4" s="51" t="s">
        <v>90</v>
      </c>
      <c r="E4" s="51" t="s">
        <v>91</v>
      </c>
      <c r="F4" s="36" t="s">
        <v>123</v>
      </c>
      <c r="G4" s="36" t="s">
        <v>140</v>
      </c>
      <c r="H4" s="36" t="s">
        <v>124</v>
      </c>
      <c r="I4" s="36" t="s">
        <v>125</v>
      </c>
      <c r="J4" s="36" t="s">
        <v>126</v>
      </c>
    </row>
    <row r="5" spans="1:10" ht="50.5">
      <c r="A5" s="70" t="s">
        <v>260</v>
      </c>
      <c r="B5" s="41" t="s">
        <v>415</v>
      </c>
      <c r="C5" s="40" t="s">
        <v>416</v>
      </c>
      <c r="D5" s="40" t="s">
        <v>417</v>
      </c>
      <c r="E5" s="40" t="s">
        <v>262</v>
      </c>
      <c r="F5" s="41" t="s">
        <v>261</v>
      </c>
      <c r="G5" s="40" t="s">
        <v>95</v>
      </c>
      <c r="H5" s="40" t="s">
        <v>290</v>
      </c>
      <c r="I5" s="40" t="s">
        <v>215</v>
      </c>
      <c r="J5" s="40" t="s">
        <v>20</v>
      </c>
    </row>
    <row r="6" spans="1:10" s="46" customFormat="1" ht="23.15" customHeight="1">
      <c r="A6" s="51" t="s">
        <v>31</v>
      </c>
      <c r="B6" s="51" t="s">
        <v>88</v>
      </c>
      <c r="C6" s="51" t="s">
        <v>89</v>
      </c>
      <c r="D6" s="51" t="s">
        <v>90</v>
      </c>
      <c r="E6" s="51" t="s">
        <v>91</v>
      </c>
      <c r="F6" s="36" t="s">
        <v>123</v>
      </c>
      <c r="G6" s="36" t="s">
        <v>140</v>
      </c>
      <c r="H6" s="36" t="s">
        <v>124</v>
      </c>
      <c r="I6" s="36" t="s">
        <v>125</v>
      </c>
      <c r="J6" s="36" t="s">
        <v>126</v>
      </c>
    </row>
    <row r="7" spans="1:10" ht="197.25" customHeight="1">
      <c r="A7" s="70" t="s">
        <v>263</v>
      </c>
      <c r="B7" s="41" t="s">
        <v>266</v>
      </c>
      <c r="C7" s="41" t="s">
        <v>265</v>
      </c>
      <c r="D7" s="41" t="s">
        <v>264</v>
      </c>
      <c r="E7" s="40" t="s">
        <v>139</v>
      </c>
      <c r="F7" s="47"/>
      <c r="G7" s="40" t="s">
        <v>95</v>
      </c>
      <c r="H7" s="40" t="s">
        <v>290</v>
      </c>
      <c r="I7" s="40" t="s">
        <v>215</v>
      </c>
      <c r="J7" s="40" t="s">
        <v>17</v>
      </c>
    </row>
    <row r="8" spans="1:10" s="46" customFormat="1" ht="23.15" customHeight="1">
      <c r="A8" s="51" t="s">
        <v>43</v>
      </c>
      <c r="B8" s="51" t="s">
        <v>88</v>
      </c>
      <c r="C8" s="51" t="s">
        <v>89</v>
      </c>
      <c r="D8" s="51" t="s">
        <v>90</v>
      </c>
      <c r="E8" s="51" t="s">
        <v>91</v>
      </c>
      <c r="F8" s="36" t="s">
        <v>123</v>
      </c>
      <c r="G8" s="36" t="s">
        <v>140</v>
      </c>
      <c r="H8" s="36" t="s">
        <v>124</v>
      </c>
      <c r="I8" s="36" t="s">
        <v>125</v>
      </c>
      <c r="J8" s="36" t="s">
        <v>126</v>
      </c>
    </row>
    <row r="9" spans="1:10" ht="60.75" customHeight="1">
      <c r="A9" s="70" t="s">
        <v>423</v>
      </c>
      <c r="B9" s="92" t="s">
        <v>71</v>
      </c>
      <c r="C9" s="92"/>
      <c r="D9" s="92"/>
      <c r="E9" s="92"/>
      <c r="F9" s="47"/>
      <c r="G9" s="40" t="s">
        <v>95</v>
      </c>
      <c r="H9" s="40" t="s">
        <v>213</v>
      </c>
      <c r="I9" s="40" t="s">
        <v>94</v>
      </c>
      <c r="J9" s="40" t="s">
        <v>104</v>
      </c>
    </row>
    <row r="10" spans="1:10" s="46" customFormat="1" ht="23.15" customHeight="1">
      <c r="A10" s="51" t="s">
        <v>55</v>
      </c>
      <c r="B10" s="51" t="s">
        <v>88</v>
      </c>
      <c r="C10" s="51" t="s">
        <v>89</v>
      </c>
      <c r="D10" s="51" t="s">
        <v>90</v>
      </c>
      <c r="E10" s="51" t="s">
        <v>91</v>
      </c>
      <c r="F10" s="36" t="s">
        <v>123</v>
      </c>
      <c r="G10" s="36" t="s">
        <v>140</v>
      </c>
      <c r="H10" s="36" t="s">
        <v>124</v>
      </c>
      <c r="I10" s="36" t="s">
        <v>125</v>
      </c>
      <c r="J10" s="36" t="s">
        <v>126</v>
      </c>
    </row>
    <row r="11" spans="1:10" ht="139.5" customHeight="1">
      <c r="A11" s="70" t="s">
        <v>267</v>
      </c>
      <c r="B11" s="40" t="s">
        <v>269</v>
      </c>
      <c r="C11" s="40" t="s">
        <v>270</v>
      </c>
      <c r="D11" s="40" t="s">
        <v>271</v>
      </c>
      <c r="E11" s="40" t="s">
        <v>268</v>
      </c>
      <c r="F11" s="47" t="s">
        <v>466</v>
      </c>
      <c r="G11" s="40" t="s">
        <v>95</v>
      </c>
      <c r="H11" s="40" t="s">
        <v>213</v>
      </c>
      <c r="I11" s="40" t="s">
        <v>94</v>
      </c>
      <c r="J11" s="40" t="s">
        <v>71</v>
      </c>
    </row>
    <row r="12" spans="1:10" s="46" customFormat="1" ht="23.15" customHeight="1">
      <c r="A12" s="51" t="s">
        <v>66</v>
      </c>
      <c r="B12" s="51"/>
      <c r="C12" s="51" t="s">
        <v>89</v>
      </c>
      <c r="D12" s="51" t="s">
        <v>90</v>
      </c>
      <c r="E12" s="51" t="s">
        <v>91</v>
      </c>
      <c r="F12" s="36" t="s">
        <v>123</v>
      </c>
      <c r="G12" s="36" t="s">
        <v>140</v>
      </c>
      <c r="H12" s="36" t="s">
        <v>124</v>
      </c>
      <c r="I12" s="36" t="s">
        <v>125</v>
      </c>
      <c r="J12" s="36" t="s">
        <v>126</v>
      </c>
    </row>
    <row r="13" spans="1:10" ht="277.5" customHeight="1">
      <c r="A13" s="70" t="s">
        <v>379</v>
      </c>
      <c r="B13" s="40" t="s">
        <v>467</v>
      </c>
      <c r="C13" s="41" t="s">
        <v>468</v>
      </c>
      <c r="D13" s="41" t="s">
        <v>273</v>
      </c>
      <c r="E13" s="40" t="s">
        <v>424</v>
      </c>
      <c r="F13" s="47" t="s">
        <v>272</v>
      </c>
      <c r="G13" s="40" t="s">
        <v>95</v>
      </c>
      <c r="H13" s="40" t="s">
        <v>213</v>
      </c>
      <c r="I13" s="40" t="s">
        <v>94</v>
      </c>
      <c r="J13" s="40" t="s">
        <v>105</v>
      </c>
    </row>
    <row r="14" spans="1:10" s="46" customFormat="1" ht="23.15" customHeight="1">
      <c r="A14" s="51" t="s">
        <v>75</v>
      </c>
      <c r="B14" s="51" t="s">
        <v>88</v>
      </c>
      <c r="C14" s="51" t="s">
        <v>89</v>
      </c>
      <c r="D14" s="51" t="s">
        <v>90</v>
      </c>
      <c r="E14" s="51" t="s">
        <v>91</v>
      </c>
      <c r="F14" s="36" t="s">
        <v>123</v>
      </c>
      <c r="G14" s="36" t="s">
        <v>140</v>
      </c>
      <c r="H14" s="36" t="s">
        <v>124</v>
      </c>
      <c r="I14" s="36" t="s">
        <v>125</v>
      </c>
      <c r="J14" s="36" t="s">
        <v>126</v>
      </c>
    </row>
    <row r="15" spans="1:10" ht="120.5">
      <c r="A15" s="70" t="s">
        <v>425</v>
      </c>
      <c r="B15" s="41" t="s">
        <v>274</v>
      </c>
      <c r="C15" s="40" t="s">
        <v>275</v>
      </c>
      <c r="D15" s="40" t="s">
        <v>276</v>
      </c>
      <c r="E15" s="40" t="s">
        <v>277</v>
      </c>
      <c r="F15" s="47" t="s">
        <v>278</v>
      </c>
      <c r="G15" s="40" t="s">
        <v>95</v>
      </c>
      <c r="H15" s="40" t="s">
        <v>213</v>
      </c>
      <c r="I15" s="40" t="s">
        <v>215</v>
      </c>
      <c r="J15" s="40" t="s">
        <v>106</v>
      </c>
    </row>
    <row r="16" spans="1:10" s="46" customFormat="1" ht="23.15" customHeight="1">
      <c r="A16" s="51" t="s">
        <v>82</v>
      </c>
      <c r="B16" s="51" t="s">
        <v>88</v>
      </c>
      <c r="C16" s="51" t="s">
        <v>89</v>
      </c>
      <c r="D16" s="51" t="s">
        <v>90</v>
      </c>
      <c r="E16" s="51" t="s">
        <v>91</v>
      </c>
      <c r="F16" s="36" t="s">
        <v>123</v>
      </c>
      <c r="G16" s="36" t="s">
        <v>140</v>
      </c>
      <c r="H16" s="36" t="s">
        <v>124</v>
      </c>
      <c r="I16" s="36" t="s">
        <v>125</v>
      </c>
      <c r="J16" s="36" t="s">
        <v>126</v>
      </c>
    </row>
    <row r="17" spans="1:10" ht="131.25" customHeight="1">
      <c r="A17" s="70" t="s">
        <v>279</v>
      </c>
      <c r="B17" s="40" t="s">
        <v>470</v>
      </c>
      <c r="C17" s="40" t="s">
        <v>469</v>
      </c>
      <c r="D17" s="40" t="s">
        <v>248</v>
      </c>
      <c r="E17" s="40" t="s">
        <v>129</v>
      </c>
      <c r="F17" s="48"/>
      <c r="G17" s="40" t="s">
        <v>95</v>
      </c>
      <c r="H17" s="40" t="s">
        <v>214</v>
      </c>
      <c r="I17" s="40" t="s">
        <v>215</v>
      </c>
      <c r="J17" s="42"/>
    </row>
    <row r="18" spans="1:10" s="23" customFormat="1" ht="25" customHeight="1">
      <c r="A18" s="50" t="s">
        <v>8</v>
      </c>
      <c r="B18" s="50" t="s">
        <v>393</v>
      </c>
      <c r="C18" s="50"/>
      <c r="D18" s="50"/>
      <c r="E18" s="50"/>
      <c r="F18" s="50"/>
      <c r="G18" s="50"/>
      <c r="H18" s="50"/>
      <c r="I18" s="50"/>
      <c r="J18" s="50"/>
    </row>
    <row r="19" spans="1:10" s="46" customFormat="1" ht="21.75" customHeight="1">
      <c r="A19" s="51" t="s">
        <v>20</v>
      </c>
      <c r="B19" s="51" t="s">
        <v>88</v>
      </c>
      <c r="C19" s="51" t="s">
        <v>89</v>
      </c>
      <c r="D19" s="51" t="s">
        <v>90</v>
      </c>
      <c r="E19" s="51" t="s">
        <v>91</v>
      </c>
      <c r="F19" s="36" t="s">
        <v>123</v>
      </c>
      <c r="G19" s="36" t="s">
        <v>140</v>
      </c>
      <c r="H19" s="36" t="s">
        <v>124</v>
      </c>
      <c r="I19" s="36" t="s">
        <v>125</v>
      </c>
      <c r="J19" s="36" t="s">
        <v>126</v>
      </c>
    </row>
    <row r="20" spans="1:10" ht="30" customHeight="1">
      <c r="A20" s="70" t="s">
        <v>281</v>
      </c>
      <c r="B20" s="85" t="s">
        <v>19</v>
      </c>
      <c r="C20" s="85"/>
      <c r="D20" s="85"/>
      <c r="E20" s="85"/>
      <c r="F20" s="49"/>
      <c r="G20" s="42" t="s">
        <v>95</v>
      </c>
      <c r="H20" s="40" t="s">
        <v>290</v>
      </c>
      <c r="I20" s="40" t="s">
        <v>215</v>
      </c>
      <c r="J20" s="42" t="s">
        <v>19</v>
      </c>
    </row>
    <row r="21" spans="1:10" s="46" customFormat="1" ht="23.15" customHeight="1">
      <c r="A21" s="51" t="s">
        <v>32</v>
      </c>
      <c r="B21" s="51" t="s">
        <v>88</v>
      </c>
      <c r="C21" s="51" t="s">
        <v>89</v>
      </c>
      <c r="D21" s="51" t="s">
        <v>90</v>
      </c>
      <c r="E21" s="51" t="s">
        <v>91</v>
      </c>
      <c r="F21" s="36" t="s">
        <v>123</v>
      </c>
      <c r="G21" s="36" t="s">
        <v>140</v>
      </c>
      <c r="H21" s="36" t="s">
        <v>124</v>
      </c>
      <c r="I21" s="36" t="s">
        <v>125</v>
      </c>
      <c r="J21" s="36" t="s">
        <v>126</v>
      </c>
    </row>
    <row r="22" spans="1:10" ht="190.5">
      <c r="A22" s="70" t="s">
        <v>471</v>
      </c>
      <c r="B22" s="41" t="s">
        <v>420</v>
      </c>
      <c r="C22" s="41" t="s">
        <v>421</v>
      </c>
      <c r="D22" s="41" t="s">
        <v>422</v>
      </c>
      <c r="E22" s="40" t="s">
        <v>139</v>
      </c>
      <c r="F22" s="48"/>
      <c r="G22" s="42" t="s">
        <v>95</v>
      </c>
      <c r="H22" s="40" t="s">
        <v>290</v>
      </c>
      <c r="I22" s="40" t="s">
        <v>215</v>
      </c>
      <c r="J22" s="42" t="s">
        <v>17</v>
      </c>
    </row>
    <row r="23" spans="1:10" s="46" customFormat="1" ht="23.15" customHeight="1">
      <c r="A23" s="51" t="s">
        <v>44</v>
      </c>
      <c r="B23" s="51" t="s">
        <v>88</v>
      </c>
      <c r="C23" s="51" t="s">
        <v>89</v>
      </c>
      <c r="D23" s="51" t="s">
        <v>90</v>
      </c>
      <c r="E23" s="51" t="s">
        <v>91</v>
      </c>
      <c r="F23" s="36" t="s">
        <v>123</v>
      </c>
      <c r="G23" s="36" t="s">
        <v>140</v>
      </c>
      <c r="H23" s="36" t="s">
        <v>124</v>
      </c>
      <c r="I23" s="36" t="s">
        <v>125</v>
      </c>
      <c r="J23" s="36" t="s">
        <v>126</v>
      </c>
    </row>
    <row r="24" spans="1:10" ht="271">
      <c r="A24" s="70" t="s">
        <v>282</v>
      </c>
      <c r="B24" s="40" t="s">
        <v>377</v>
      </c>
      <c r="C24" s="41" t="s">
        <v>284</v>
      </c>
      <c r="D24" s="47" t="s">
        <v>283</v>
      </c>
      <c r="E24" s="40"/>
      <c r="F24" s="47"/>
      <c r="G24" s="40" t="s">
        <v>95</v>
      </c>
      <c r="H24" s="40" t="s">
        <v>213</v>
      </c>
      <c r="I24" s="40" t="s">
        <v>215</v>
      </c>
      <c r="J24" s="40" t="s">
        <v>390</v>
      </c>
    </row>
    <row r="25" spans="1:10" s="46" customFormat="1" ht="23.15" customHeight="1">
      <c r="A25" s="51" t="s">
        <v>56</v>
      </c>
      <c r="B25" s="51" t="s">
        <v>88</v>
      </c>
      <c r="C25" s="51" t="s">
        <v>89</v>
      </c>
      <c r="D25" s="51" t="s">
        <v>90</v>
      </c>
      <c r="E25" s="51" t="s">
        <v>91</v>
      </c>
      <c r="F25" s="36" t="s">
        <v>123</v>
      </c>
      <c r="G25" s="36" t="s">
        <v>140</v>
      </c>
      <c r="H25" s="36" t="s">
        <v>124</v>
      </c>
      <c r="I25" s="36" t="s">
        <v>125</v>
      </c>
      <c r="J25" s="36" t="s">
        <v>126</v>
      </c>
    </row>
    <row r="26" spans="1:10" ht="379.5" customHeight="1">
      <c r="A26" s="70" t="s">
        <v>472</v>
      </c>
      <c r="B26" s="41" t="s">
        <v>287</v>
      </c>
      <c r="C26" s="47" t="s">
        <v>286</v>
      </c>
      <c r="D26" s="40" t="s">
        <v>285</v>
      </c>
      <c r="E26" s="40" t="s">
        <v>394</v>
      </c>
      <c r="F26" s="47"/>
      <c r="G26" s="40" t="s">
        <v>95</v>
      </c>
      <c r="H26" s="40" t="s">
        <v>213</v>
      </c>
      <c r="I26" s="40" t="s">
        <v>94</v>
      </c>
      <c r="J26" s="42" t="s">
        <v>66</v>
      </c>
    </row>
    <row r="27" spans="1:10" s="46" customFormat="1" ht="23.15" customHeight="1">
      <c r="A27" s="51" t="s">
        <v>67</v>
      </c>
      <c r="B27" s="51" t="s">
        <v>88</v>
      </c>
      <c r="C27" s="51" t="s">
        <v>89</v>
      </c>
      <c r="D27" s="51" t="s">
        <v>90</v>
      </c>
      <c r="E27" s="51" t="s">
        <v>91</v>
      </c>
      <c r="F27" s="36" t="s">
        <v>123</v>
      </c>
      <c r="G27" s="36" t="s">
        <v>140</v>
      </c>
      <c r="H27" s="36" t="s">
        <v>124</v>
      </c>
      <c r="I27" s="36" t="s">
        <v>125</v>
      </c>
      <c r="J27" s="36" t="s">
        <v>126</v>
      </c>
    </row>
    <row r="28" spans="1:10" s="8" customFormat="1" ht="100.5">
      <c r="A28" s="70" t="s">
        <v>170</v>
      </c>
      <c r="B28" s="40" t="s">
        <v>289</v>
      </c>
      <c r="C28" s="40" t="s">
        <v>473</v>
      </c>
      <c r="D28" s="40" t="s">
        <v>248</v>
      </c>
      <c r="E28" s="40" t="s">
        <v>129</v>
      </c>
      <c r="F28" s="48"/>
      <c r="G28" s="40" t="s">
        <v>95</v>
      </c>
      <c r="H28" s="40" t="s">
        <v>214</v>
      </c>
      <c r="I28" s="40" t="s">
        <v>215</v>
      </c>
      <c r="J28" s="42"/>
    </row>
  </sheetData>
  <mergeCells count="3">
    <mergeCell ref="A1:J1"/>
    <mergeCell ref="B20:E20"/>
    <mergeCell ref="B9:E9"/>
  </mergeCells>
  <conditionalFormatting sqref="B3:B8 B10:B12 B14:B23 B25:B1048576">
    <cfRule type="expression" dxfId="77" priority="130">
      <formula>#REF! = "A"</formula>
    </cfRule>
  </conditionalFormatting>
  <conditionalFormatting sqref="B13:D13">
    <cfRule type="expression" dxfId="76" priority="29">
      <formula>#REF! = "A"</formula>
    </cfRule>
  </conditionalFormatting>
  <conditionalFormatting sqref="C3:C8 C10:C12 C14 C18:C19 C21:C23 C25:C27 C29:C1048576">
    <cfRule type="expression" dxfId="75" priority="131">
      <formula>#REF! = "B"</formula>
    </cfRule>
  </conditionalFormatting>
  <conditionalFormatting sqref="C16">
    <cfRule type="expression" dxfId="74" priority="23">
      <formula>#REF! = "B"</formula>
    </cfRule>
  </conditionalFormatting>
  <conditionalFormatting sqref="C15:D15">
    <cfRule type="expression" dxfId="73" priority="27">
      <formula>#REF! = "A"</formula>
    </cfRule>
  </conditionalFormatting>
  <conditionalFormatting sqref="C17:D17">
    <cfRule type="expression" dxfId="72" priority="21">
      <formula>#REF! = "A"</formula>
    </cfRule>
  </conditionalFormatting>
  <conditionalFormatting sqref="C28:D28">
    <cfRule type="expression" dxfId="71" priority="74">
      <formula>#REF! = "A"</formula>
    </cfRule>
  </conditionalFormatting>
  <conditionalFormatting sqref="D3:D4 D6 D8 D10:D12 D14 D18:D19 D21 D23 D25:D27 D29:D1048576">
    <cfRule type="expression" dxfId="70" priority="132">
      <formula>#REF! = "C"</formula>
    </cfRule>
  </conditionalFormatting>
  <conditionalFormatting sqref="D5">
    <cfRule type="expression" dxfId="69" priority="44">
      <formula>#REF! = "B"</formula>
    </cfRule>
  </conditionalFormatting>
  <conditionalFormatting sqref="D7">
    <cfRule type="expression" dxfId="68" priority="71">
      <formula>#REF! = "B"</formula>
    </cfRule>
  </conditionalFormatting>
  <conditionalFormatting sqref="D16">
    <cfRule type="expression" dxfId="67" priority="24">
      <formula>#REF! = "C"</formula>
    </cfRule>
  </conditionalFormatting>
  <conditionalFormatting sqref="D22">
    <cfRule type="expression" dxfId="66" priority="41">
      <formula>#REF! = "B"</formula>
    </cfRule>
  </conditionalFormatting>
  <conditionalFormatting sqref="E3:E8 B9 E10:E19 E21:E23 D26 E27:E1048576">
    <cfRule type="expression" dxfId="65" priority="133">
      <formula>#REF! = "D"</formula>
    </cfRule>
  </conditionalFormatting>
  <conditionalFormatting sqref="E25">
    <cfRule type="expression" dxfId="64" priority="13">
      <formula>#REF! = "D"</formula>
    </cfRule>
  </conditionalFormatting>
  <conditionalFormatting sqref="F20">
    <cfRule type="expression" dxfId="63" priority="49">
      <formula>#REF! = "D"</formula>
    </cfRule>
  </conditionalFormatting>
  <conditionalFormatting sqref="F3:J16">
    <cfRule type="expression" dxfId="62" priority="6">
      <formula>#REF! = "D"</formula>
    </cfRule>
  </conditionalFormatting>
  <conditionalFormatting sqref="F18:J19">
    <cfRule type="expression" dxfId="61" priority="5">
      <formula>#REF! = "D"</formula>
    </cfRule>
  </conditionalFormatting>
  <conditionalFormatting sqref="F21:J21">
    <cfRule type="expression" dxfId="60" priority="4">
      <formula>#REF! = "D"</formula>
    </cfRule>
  </conditionalFormatting>
  <conditionalFormatting sqref="F23:J25">
    <cfRule type="expression" dxfId="59" priority="2">
      <formula>#REF! = "D"</formula>
    </cfRule>
  </conditionalFormatting>
  <conditionalFormatting sqref="F27:J27">
    <cfRule type="expression" dxfId="58" priority="1">
      <formula>#REF! = "D"</formula>
    </cfRule>
  </conditionalFormatting>
  <conditionalFormatting sqref="G17:I17">
    <cfRule type="expression" dxfId="57" priority="20">
      <formula>#REF! = "D"</formula>
    </cfRule>
  </conditionalFormatting>
  <conditionalFormatting sqref="G26:I26 G28:I28">
    <cfRule type="expression" dxfId="56" priority="26">
      <formula>#REF! = "D"</formula>
    </cfRule>
  </conditionalFormatting>
  <conditionalFormatting sqref="H20:I20 H22:I22">
    <cfRule type="expression" dxfId="55" priority="46">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7" max="9" man="1"/>
    <brk id="26"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B9A6DCD-3884-4415-B87C-B7A9F856B8F0}">
          <x14:formula1>
            <xm:f>Validierung!$B$4:$B$6</xm:f>
          </x14:formula1>
          <xm:sqref>H7 H24 H26 H28 H20 H9 H11 H13 H15 H22 H17 H5</xm:sqref>
        </x14:dataValidation>
        <x14:dataValidation type="list" allowBlank="1" showInputMessage="1" showErrorMessage="1" xr:uid="{43CA7859-0586-4B2C-8B0F-B7F8E9384726}">
          <x14:formula1>
            <xm:f>Validierung!$A$4:$A$7</xm:f>
          </x14:formula1>
          <xm:sqref>G5 G24 G22 G26 G28 G7 G9 G11 G13 G20 G15 G17</xm:sqref>
        </x14:dataValidation>
        <x14:dataValidation type="list" allowBlank="1" showInputMessage="1" showErrorMessage="1" xr:uid="{01940461-EF0D-4661-B161-FB666161B908}">
          <x14:formula1>
            <xm:f>Validierung!$E$4:$E$6</xm:f>
          </x14:formula1>
          <xm:sqref>I5 I7 I9 I11 I13 I15 I17 I20 I22 I24 I26 I28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6A-8556-43D9-ACD9-D8B289DD9B4B}">
  <sheetPr>
    <pageSetUpPr fitToPage="1"/>
  </sheetPr>
  <dimension ref="A1:J24"/>
  <sheetViews>
    <sheetView showGridLines="0" zoomScale="160" zoomScaleNormal="160" workbookViewId="0">
      <pane ySplit="1" topLeftCell="A22" activePane="bottomLeft" state="frozen"/>
      <selection pane="bottomLeft" activeCell="D20" sqref="D20"/>
    </sheetView>
  </sheetViews>
  <sheetFormatPr defaultColWidth="11.33203125" defaultRowHeight="14.5" customHeight="1"/>
  <cols>
    <col min="1" max="1" width="20.08203125" style="55" customWidth="1"/>
    <col min="2" max="4" width="50.58203125" style="52" customWidth="1"/>
    <col min="5" max="5" width="17" style="52" customWidth="1"/>
    <col min="6" max="6" width="25.58203125" style="52" customWidth="1"/>
    <col min="7" max="10" width="18.58203125" style="52" customWidth="1"/>
    <col min="11" max="16384" width="11.33203125" style="52"/>
  </cols>
  <sheetData>
    <row r="1" spans="1:10" ht="33" customHeight="1">
      <c r="A1" s="89" t="s">
        <v>342</v>
      </c>
      <c r="B1" s="90"/>
      <c r="C1" s="90"/>
      <c r="D1" s="90"/>
      <c r="E1" s="90"/>
      <c r="F1" s="90"/>
      <c r="G1" s="90"/>
      <c r="H1" s="90"/>
      <c r="I1" s="90"/>
      <c r="J1" s="91"/>
    </row>
    <row r="2" spans="1:10" ht="25" hidden="1" customHeight="1">
      <c r="A2" s="53"/>
      <c r="B2" s="53"/>
      <c r="C2" s="53"/>
      <c r="D2" s="53"/>
      <c r="E2" s="53"/>
      <c r="F2" s="53"/>
      <c r="G2" s="53"/>
      <c r="H2" s="53"/>
      <c r="I2" s="53"/>
      <c r="J2" s="53"/>
    </row>
    <row r="3" spans="1:10" s="56" customFormat="1" ht="23.15" customHeight="1">
      <c r="A3" s="17" t="s">
        <v>11</v>
      </c>
      <c r="B3" s="17" t="s">
        <v>343</v>
      </c>
      <c r="C3" s="17"/>
      <c r="D3" s="17"/>
      <c r="E3" s="17"/>
      <c r="F3" s="17"/>
      <c r="G3" s="17"/>
      <c r="H3" s="17"/>
      <c r="I3" s="17"/>
      <c r="J3" s="17"/>
    </row>
    <row r="4" spans="1:10" s="56" customFormat="1" ht="23.15" customHeight="1">
      <c r="A4" s="18" t="s">
        <v>23</v>
      </c>
      <c r="B4" s="18" t="s">
        <v>88</v>
      </c>
      <c r="C4" s="18" t="s">
        <v>89</v>
      </c>
      <c r="D4" s="18" t="s">
        <v>90</v>
      </c>
      <c r="E4" s="18" t="s">
        <v>91</v>
      </c>
      <c r="F4" s="36" t="s">
        <v>123</v>
      </c>
      <c r="G4" s="36" t="s">
        <v>140</v>
      </c>
      <c r="H4" s="36" t="s">
        <v>124</v>
      </c>
      <c r="I4" s="36" t="s">
        <v>125</v>
      </c>
      <c r="J4" s="36" t="s">
        <v>126</v>
      </c>
    </row>
    <row r="5" spans="1:10" ht="230.5">
      <c r="A5" s="70" t="s">
        <v>453</v>
      </c>
      <c r="B5" s="41" t="s">
        <v>418</v>
      </c>
      <c r="C5" s="41" t="s">
        <v>419</v>
      </c>
      <c r="D5" s="41" t="s">
        <v>345</v>
      </c>
      <c r="E5" s="40" t="s">
        <v>139</v>
      </c>
      <c r="F5" s="40" t="s">
        <v>404</v>
      </c>
      <c r="G5" s="40" t="s">
        <v>95</v>
      </c>
      <c r="H5" s="40" t="s">
        <v>290</v>
      </c>
      <c r="I5" s="40" t="s">
        <v>215</v>
      </c>
      <c r="J5" s="40" t="s">
        <v>381</v>
      </c>
    </row>
    <row r="6" spans="1:10" s="56" customFormat="1" ht="23.15" customHeight="1">
      <c r="A6" s="18" t="s">
        <v>35</v>
      </c>
      <c r="B6" s="18" t="s">
        <v>88</v>
      </c>
      <c r="C6" s="18" t="s">
        <v>89</v>
      </c>
      <c r="D6" s="18" t="s">
        <v>90</v>
      </c>
      <c r="E6" s="18" t="s">
        <v>91</v>
      </c>
      <c r="F6" s="36" t="s">
        <v>123</v>
      </c>
      <c r="G6" s="36" t="s">
        <v>140</v>
      </c>
      <c r="H6" s="36" t="s">
        <v>124</v>
      </c>
      <c r="I6" s="36" t="s">
        <v>125</v>
      </c>
      <c r="J6" s="36" t="s">
        <v>126</v>
      </c>
    </row>
    <row r="7" spans="1:10" ht="330.5">
      <c r="A7" s="70" t="s">
        <v>454</v>
      </c>
      <c r="B7" s="40" t="s">
        <v>474</v>
      </c>
      <c r="C7" s="41" t="s">
        <v>475</v>
      </c>
      <c r="D7" s="40" t="s">
        <v>347</v>
      </c>
      <c r="E7" s="40" t="s">
        <v>346</v>
      </c>
      <c r="F7" s="40" t="s">
        <v>476</v>
      </c>
      <c r="G7" s="40" t="s">
        <v>212</v>
      </c>
      <c r="H7" s="40" t="s">
        <v>213</v>
      </c>
      <c r="I7" s="40" t="s">
        <v>94</v>
      </c>
      <c r="J7" s="40" t="s">
        <v>382</v>
      </c>
    </row>
    <row r="8" spans="1:10" s="56" customFormat="1" ht="23.15" customHeight="1">
      <c r="A8" s="18" t="s">
        <v>47</v>
      </c>
      <c r="B8" s="18" t="s">
        <v>88</v>
      </c>
      <c r="C8" s="18" t="s">
        <v>89</v>
      </c>
      <c r="D8" s="18" t="s">
        <v>90</v>
      </c>
      <c r="E8" s="18" t="s">
        <v>91</v>
      </c>
      <c r="F8" s="36" t="s">
        <v>123</v>
      </c>
      <c r="G8" s="36" t="s">
        <v>140</v>
      </c>
      <c r="H8" s="36" t="s">
        <v>124</v>
      </c>
      <c r="I8" s="36" t="s">
        <v>125</v>
      </c>
      <c r="J8" s="36" t="s">
        <v>126</v>
      </c>
    </row>
    <row r="9" spans="1:10" ht="191.5">
      <c r="A9" s="70" t="s">
        <v>348</v>
      </c>
      <c r="B9" s="26" t="s">
        <v>349</v>
      </c>
      <c r="C9" s="40" t="s">
        <v>350</v>
      </c>
      <c r="D9" s="40" t="s">
        <v>455</v>
      </c>
      <c r="E9" s="40" t="s">
        <v>351</v>
      </c>
      <c r="F9" s="40"/>
      <c r="G9" s="40" t="s">
        <v>212</v>
      </c>
      <c r="H9" s="40" t="s">
        <v>213</v>
      </c>
      <c r="I9" s="40" t="s">
        <v>94</v>
      </c>
      <c r="J9" s="40"/>
    </row>
    <row r="10" spans="1:10" s="56" customFormat="1" ht="23.15" customHeight="1">
      <c r="A10" s="18" t="s">
        <v>59</v>
      </c>
      <c r="B10" s="18" t="s">
        <v>88</v>
      </c>
      <c r="C10" s="18" t="s">
        <v>89</v>
      </c>
      <c r="D10" s="18" t="s">
        <v>90</v>
      </c>
      <c r="E10" s="18" t="s">
        <v>91</v>
      </c>
      <c r="F10" s="36" t="s">
        <v>123</v>
      </c>
      <c r="G10" s="36" t="s">
        <v>140</v>
      </c>
      <c r="H10" s="36" t="s">
        <v>124</v>
      </c>
      <c r="I10" s="36" t="s">
        <v>125</v>
      </c>
      <c r="J10" s="36" t="s">
        <v>126</v>
      </c>
    </row>
    <row r="11" spans="1:10" ht="201">
      <c r="A11" s="70" t="s">
        <v>352</v>
      </c>
      <c r="B11" s="25" t="s">
        <v>405</v>
      </c>
      <c r="C11" s="41" t="s">
        <v>354</v>
      </c>
      <c r="D11" s="41" t="s">
        <v>355</v>
      </c>
      <c r="E11" s="40" t="s">
        <v>353</v>
      </c>
      <c r="F11" s="40"/>
      <c r="G11" s="40" t="s">
        <v>95</v>
      </c>
      <c r="H11" s="40" t="s">
        <v>213</v>
      </c>
      <c r="I11" s="40" t="s">
        <v>94</v>
      </c>
      <c r="J11" s="40" t="s">
        <v>383</v>
      </c>
    </row>
    <row r="12" spans="1:10" s="56" customFormat="1" ht="23.15" customHeight="1">
      <c r="A12" s="18" t="s">
        <v>70</v>
      </c>
      <c r="B12" s="18" t="s">
        <v>88</v>
      </c>
      <c r="C12" s="18" t="s">
        <v>89</v>
      </c>
      <c r="D12" s="18" t="s">
        <v>90</v>
      </c>
      <c r="E12" s="18" t="s">
        <v>91</v>
      </c>
      <c r="F12" s="36" t="s">
        <v>123</v>
      </c>
      <c r="G12" s="36" t="s">
        <v>140</v>
      </c>
      <c r="H12" s="36" t="s">
        <v>124</v>
      </c>
      <c r="I12" s="36" t="s">
        <v>125</v>
      </c>
      <c r="J12" s="36" t="s">
        <v>126</v>
      </c>
    </row>
    <row r="13" spans="1:10" ht="291.5">
      <c r="A13" s="70" t="s">
        <v>356</v>
      </c>
      <c r="B13" s="41" t="s">
        <v>359</v>
      </c>
      <c r="C13" s="41" t="s">
        <v>358</v>
      </c>
      <c r="D13" s="41" t="s">
        <v>378</v>
      </c>
      <c r="E13" s="47" t="s">
        <v>357</v>
      </c>
      <c r="F13" s="47"/>
      <c r="G13" s="47" t="s">
        <v>211</v>
      </c>
      <c r="H13" s="47" t="s">
        <v>213</v>
      </c>
      <c r="I13" s="47" t="s">
        <v>215</v>
      </c>
      <c r="J13" s="47" t="s">
        <v>384</v>
      </c>
    </row>
    <row r="14" spans="1:10" s="56" customFormat="1" ht="23.15" customHeight="1">
      <c r="A14" s="18" t="s">
        <v>78</v>
      </c>
      <c r="B14" s="18" t="s">
        <v>88</v>
      </c>
      <c r="C14" s="18" t="s">
        <v>89</v>
      </c>
      <c r="D14" s="18" t="s">
        <v>90</v>
      </c>
      <c r="E14" s="18" t="s">
        <v>91</v>
      </c>
      <c r="F14" s="36" t="s">
        <v>123</v>
      </c>
      <c r="G14" s="36" t="s">
        <v>140</v>
      </c>
      <c r="H14" s="36" t="s">
        <v>124</v>
      </c>
      <c r="I14" s="36" t="s">
        <v>125</v>
      </c>
      <c r="J14" s="36" t="s">
        <v>126</v>
      </c>
    </row>
    <row r="15" spans="1:10" s="54" customFormat="1" ht="100.5">
      <c r="A15" s="70" t="s">
        <v>360</v>
      </c>
      <c r="B15" s="40" t="s">
        <v>258</v>
      </c>
      <c r="C15" s="40" t="s">
        <v>361</v>
      </c>
      <c r="D15" s="40" t="s">
        <v>288</v>
      </c>
      <c r="E15" s="40" t="s">
        <v>129</v>
      </c>
      <c r="F15" s="43"/>
      <c r="G15" s="40" t="s">
        <v>95</v>
      </c>
      <c r="H15" s="40" t="s">
        <v>214</v>
      </c>
      <c r="I15" s="40" t="s">
        <v>215</v>
      </c>
      <c r="J15" s="42"/>
    </row>
    <row r="16" spans="1:10" s="56" customFormat="1" ht="23.15" customHeight="1">
      <c r="A16" s="17" t="s">
        <v>12</v>
      </c>
      <c r="B16" s="17" t="s">
        <v>344</v>
      </c>
      <c r="C16" s="17"/>
      <c r="D16" s="17"/>
      <c r="E16" s="17"/>
      <c r="F16" s="17"/>
      <c r="G16" s="17"/>
      <c r="H16" s="17"/>
      <c r="I16" s="17"/>
      <c r="J16" s="17"/>
    </row>
    <row r="17" spans="1:10" s="56" customFormat="1" ht="23.15" customHeight="1">
      <c r="A17" s="18" t="s">
        <v>24</v>
      </c>
      <c r="B17" s="18" t="s">
        <v>88</v>
      </c>
      <c r="C17" s="18" t="s">
        <v>89</v>
      </c>
      <c r="D17" s="18" t="s">
        <v>90</v>
      </c>
      <c r="E17" s="18" t="s">
        <v>91</v>
      </c>
      <c r="F17" s="36" t="s">
        <v>123</v>
      </c>
      <c r="G17" s="36" t="s">
        <v>140</v>
      </c>
      <c r="H17" s="36" t="s">
        <v>124</v>
      </c>
      <c r="I17" s="36" t="s">
        <v>125</v>
      </c>
      <c r="J17" s="36" t="s">
        <v>126</v>
      </c>
    </row>
    <row r="18" spans="1:10" ht="235.5" customHeight="1">
      <c r="A18" s="70" t="s">
        <v>362</v>
      </c>
      <c r="B18" s="41" t="s">
        <v>456</v>
      </c>
      <c r="C18" s="41" t="s">
        <v>457</v>
      </c>
      <c r="D18" s="41" t="s">
        <v>407</v>
      </c>
      <c r="E18" s="40" t="s">
        <v>139</v>
      </c>
      <c r="F18" s="40" t="s">
        <v>403</v>
      </c>
      <c r="G18" s="40" t="s">
        <v>95</v>
      </c>
      <c r="H18" s="40" t="s">
        <v>290</v>
      </c>
      <c r="I18" s="40" t="s">
        <v>215</v>
      </c>
      <c r="J18" s="40" t="s">
        <v>381</v>
      </c>
    </row>
    <row r="19" spans="1:10" s="56" customFormat="1" ht="23.15" customHeight="1">
      <c r="A19" s="18" t="s">
        <v>36</v>
      </c>
      <c r="B19" s="18" t="s">
        <v>88</v>
      </c>
      <c r="C19" s="18" t="s">
        <v>89</v>
      </c>
      <c r="D19" s="18" t="s">
        <v>90</v>
      </c>
      <c r="E19" s="18" t="s">
        <v>91</v>
      </c>
      <c r="F19" s="36" t="s">
        <v>123</v>
      </c>
      <c r="G19" s="36" t="s">
        <v>140</v>
      </c>
      <c r="H19" s="36" t="s">
        <v>124</v>
      </c>
      <c r="I19" s="36" t="s">
        <v>125</v>
      </c>
      <c r="J19" s="36" t="s">
        <v>126</v>
      </c>
    </row>
    <row r="20" spans="1:10" ht="403.5" customHeight="1">
      <c r="A20" s="70" t="s">
        <v>363</v>
      </c>
      <c r="B20" s="74" t="s">
        <v>458</v>
      </c>
      <c r="C20" s="74" t="s">
        <v>460</v>
      </c>
      <c r="D20" s="74" t="s">
        <v>459</v>
      </c>
      <c r="E20" s="40" t="s">
        <v>364</v>
      </c>
      <c r="F20" s="41" t="s">
        <v>365</v>
      </c>
      <c r="G20" s="40" t="s">
        <v>212</v>
      </c>
      <c r="H20" s="40" t="s">
        <v>213</v>
      </c>
      <c r="I20" s="40" t="s">
        <v>215</v>
      </c>
      <c r="J20" s="40" t="s">
        <v>385</v>
      </c>
    </row>
    <row r="21" spans="1:10" s="56" customFormat="1" ht="23.15" customHeight="1">
      <c r="A21" s="18" t="s">
        <v>48</v>
      </c>
      <c r="B21" s="18" t="s">
        <v>88</v>
      </c>
      <c r="C21" s="18" t="s">
        <v>89</v>
      </c>
      <c r="D21" s="18" t="s">
        <v>90</v>
      </c>
      <c r="E21" s="18" t="s">
        <v>91</v>
      </c>
      <c r="F21" s="36" t="s">
        <v>123</v>
      </c>
      <c r="G21" s="36" t="s">
        <v>140</v>
      </c>
      <c r="H21" s="36" t="s">
        <v>124</v>
      </c>
      <c r="I21" s="36" t="s">
        <v>125</v>
      </c>
      <c r="J21" s="36" t="s">
        <v>126</v>
      </c>
    </row>
    <row r="22" spans="1:10" ht="392.25" customHeight="1">
      <c r="A22" s="70" t="s">
        <v>366</v>
      </c>
      <c r="B22" s="74" t="s">
        <v>406</v>
      </c>
      <c r="C22" s="74" t="s">
        <v>461</v>
      </c>
      <c r="D22" s="74" t="s">
        <v>462</v>
      </c>
      <c r="E22" s="40" t="s">
        <v>367</v>
      </c>
      <c r="F22" s="41" t="s">
        <v>368</v>
      </c>
      <c r="G22" s="40" t="s">
        <v>212</v>
      </c>
      <c r="H22" s="40" t="s">
        <v>213</v>
      </c>
      <c r="I22" s="40" t="s">
        <v>215</v>
      </c>
      <c r="J22" s="40" t="s">
        <v>386</v>
      </c>
    </row>
    <row r="23" spans="1:10" s="56" customFormat="1" ht="23.15" customHeight="1">
      <c r="A23" s="18" t="s">
        <v>60</v>
      </c>
      <c r="B23" s="18" t="s">
        <v>88</v>
      </c>
      <c r="C23" s="18" t="s">
        <v>89</v>
      </c>
      <c r="D23" s="18" t="s">
        <v>90</v>
      </c>
      <c r="E23" s="18" t="s">
        <v>91</v>
      </c>
      <c r="F23" s="36" t="s">
        <v>123</v>
      </c>
      <c r="G23" s="36" t="s">
        <v>140</v>
      </c>
      <c r="H23" s="36" t="s">
        <v>124</v>
      </c>
      <c r="I23" s="36" t="s">
        <v>125</v>
      </c>
      <c r="J23" s="36" t="s">
        <v>126</v>
      </c>
    </row>
    <row r="24" spans="1:10" s="54" customFormat="1" ht="100.5">
      <c r="A24" s="70" t="s">
        <v>369</v>
      </c>
      <c r="B24" s="40" t="s">
        <v>370</v>
      </c>
      <c r="C24" s="40" t="s">
        <v>371</v>
      </c>
      <c r="D24" s="40" t="s">
        <v>280</v>
      </c>
      <c r="E24" s="40" t="s">
        <v>129</v>
      </c>
      <c r="F24" s="43"/>
      <c r="G24" s="40" t="s">
        <v>95</v>
      </c>
      <c r="H24" s="40" t="s">
        <v>214</v>
      </c>
      <c r="I24" s="40" t="s">
        <v>215</v>
      </c>
      <c r="J24" s="42"/>
    </row>
  </sheetData>
  <mergeCells count="1">
    <mergeCell ref="A1:J1"/>
  </mergeCells>
  <conditionalFormatting sqref="B3:B1048576">
    <cfRule type="expression" dxfId="54" priority="49">
      <formula>#REF! = "A"</formula>
    </cfRule>
  </conditionalFormatting>
  <conditionalFormatting sqref="C3:C6 C8 C10 C12 C25:C1048576">
    <cfRule type="expression" dxfId="53" priority="104">
      <formula>#REF! = "B"</formula>
    </cfRule>
  </conditionalFormatting>
  <conditionalFormatting sqref="C14">
    <cfRule type="expression" dxfId="52" priority="50">
      <formula>#REF! = "B"</formula>
    </cfRule>
  </conditionalFormatting>
  <conditionalFormatting sqref="C16:C23">
    <cfRule type="expression" dxfId="51" priority="12">
      <formula>#REF! = "B"</formula>
    </cfRule>
  </conditionalFormatting>
  <conditionalFormatting sqref="C7:D7">
    <cfRule type="expression" dxfId="50" priority="30">
      <formula>#REF! = "A"</formula>
    </cfRule>
  </conditionalFormatting>
  <conditionalFormatting sqref="C9:D9">
    <cfRule type="expression" dxfId="49" priority="28">
      <formula>#REF! = "A"</formula>
    </cfRule>
  </conditionalFormatting>
  <conditionalFormatting sqref="C11:D11">
    <cfRule type="expression" dxfId="48" priority="26">
      <formula>#REF! = "A"</formula>
    </cfRule>
  </conditionalFormatting>
  <conditionalFormatting sqref="C13:D13">
    <cfRule type="expression" dxfId="47" priority="22">
      <formula>#REF! = "A"</formula>
    </cfRule>
  </conditionalFormatting>
  <conditionalFormatting sqref="C15:D15">
    <cfRule type="expression" dxfId="46" priority="44">
      <formula>#REF! = "A"</formula>
    </cfRule>
  </conditionalFormatting>
  <conditionalFormatting sqref="C20:D20">
    <cfRule type="expression" dxfId="45" priority="24">
      <formula>#REF! = "A"</formula>
    </cfRule>
  </conditionalFormatting>
  <conditionalFormatting sqref="C22:D22">
    <cfRule type="expression" dxfId="44" priority="23">
      <formula>#REF! = "A"</formula>
    </cfRule>
  </conditionalFormatting>
  <conditionalFormatting sqref="C24:D24">
    <cfRule type="expression" dxfId="43" priority="15">
      <formula>#REF! = "A"</formula>
    </cfRule>
  </conditionalFormatting>
  <conditionalFormatting sqref="D3:D6 D8 D10 D14 D16:D23 D25:D1048576">
    <cfRule type="expression" dxfId="42" priority="105">
      <formula>#REF! = "C"</formula>
    </cfRule>
  </conditionalFormatting>
  <conditionalFormatting sqref="D12">
    <cfRule type="expression" dxfId="41" priority="51">
      <formula>#REF! = "C"</formula>
    </cfRule>
  </conditionalFormatting>
  <conditionalFormatting sqref="E3:E4 E20:J20 E22:J22">
    <cfRule type="expression" dxfId="40" priority="106">
      <formula>#REF! = "D"</formula>
    </cfRule>
  </conditionalFormatting>
  <conditionalFormatting sqref="E6:E17">
    <cfRule type="expression" dxfId="38" priority="13">
      <formula>#REF! = "D"</formula>
    </cfRule>
  </conditionalFormatting>
  <conditionalFormatting sqref="E19:E1048576">
    <cfRule type="expression" dxfId="36" priority="18">
      <formula>#REF! = "D"</formula>
    </cfRule>
  </conditionalFormatting>
  <conditionalFormatting sqref="F3:J14">
    <cfRule type="expression" dxfId="35" priority="5">
      <formula>#REF! = "D"</formula>
    </cfRule>
  </conditionalFormatting>
  <conditionalFormatting sqref="F16:J23">
    <cfRule type="expression" dxfId="34" priority="1">
      <formula>#REF! = "D"</formula>
    </cfRule>
  </conditionalFormatting>
  <conditionalFormatting sqref="G15:I15">
    <cfRule type="expression" dxfId="33" priority="42">
      <formula>#REF! = "D"</formula>
    </cfRule>
  </conditionalFormatting>
  <conditionalFormatting sqref="G24:I24">
    <cfRule type="expression" dxfId="32" priority="14">
      <formula>#REF! = "D"</formula>
    </cfRule>
  </conditionalFormatting>
  <pageMargins left="0.27559055118110237" right="0.27559055118110237" top="0.39370078740157483" bottom="0.39370078740157483" header="0.27559055118110237" footer="0.27559055118110237"/>
  <pageSetup paperSize="8" scale="64" fitToHeight="0" orientation="landscape" horizontalDpi="300" verticalDpi="300" r:id="rId1"/>
  <rowBreaks count="2" manualBreakCount="2">
    <brk id="9" max="16383" man="1"/>
    <brk id="18" max="16383" man="1"/>
  </rowBreaks>
  <extLst>
    <ext xmlns:x14="http://schemas.microsoft.com/office/spreadsheetml/2009/9/main" uri="{78C0D931-6437-407d-A8EE-F0AAD7539E65}">
      <x14:conditionalFormattings>
        <x14:conditionalFormatting xmlns:xm="http://schemas.microsoft.com/office/excel/2006/main">
          <x14:cfRule type="expression" priority="31" id="{2D1968F0-79A5-4CC0-BD39-2A2EA9D47266}">
            <xm:f>'Human oversight and control'!#REF!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 xmlns:xm="http://schemas.microsoft.com/office/excel/2006/main">
          <x14:cfRule type="expression" priority="11" id="{BDCF62BC-179C-4D3F-A2A2-60FF57419450}">
            <xm:f>'Human oversight and control'!#REF! = "D"</xm:f>
            <x14:dxf>
              <font>
                <b/>
                <i val="0"/>
              </font>
              <fill>
                <patternFill>
                  <bgColor theme="2"/>
                </patternFill>
              </fill>
              <border>
                <left style="thin">
                  <color auto="1"/>
                </left>
                <right style="thin">
                  <color auto="1"/>
                </right>
                <top style="thin">
                  <color auto="1"/>
                </top>
                <bottom style="thin">
                  <color auto="1"/>
                </bottom>
                <vertical/>
                <horizontal/>
              </border>
            </x14:dxf>
          </x14:cfRule>
          <xm:sqref>E18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70004EAA-60F9-4A52-B2B2-6A112F3987C2}">
          <x14:formula1>
            <xm:f>Validierung!$A$4:$A$6</xm:f>
          </x14:formula1>
          <xm:sqref>G5 G7 G9 G20 G13 G11 G22 G18</xm:sqref>
        </x14:dataValidation>
        <x14:dataValidation type="list" allowBlank="1" showInputMessage="1" showErrorMessage="1" xr:uid="{FC8AAE71-46C7-4814-ABF7-847C54631ED0}">
          <x14:formula1>
            <xm:f>Validierung!$B$4:$B$6</xm:f>
          </x14:formula1>
          <xm:sqref>H7 H9 H20 H15 H11 H13 H5 H22 H24 H18</xm:sqref>
        </x14:dataValidation>
        <x14:dataValidation type="list" allowBlank="1" showInputMessage="1" showErrorMessage="1" xr:uid="{8CBD0B49-690A-40D0-868C-53F1B7B7CD52}">
          <x14:formula1>
            <xm:f>Validierung!$A$4:$A$7</xm:f>
          </x14:formula1>
          <xm:sqref>G15 G24</xm:sqref>
        </x14:dataValidation>
        <x14:dataValidation type="list" allowBlank="1" showInputMessage="1" showErrorMessage="1" xr:uid="{4D5A1071-6278-4148-B924-5BAB6DBEC909}">
          <x14:formula1>
            <xm:f>Validierung!$E$4:$E$6</xm:f>
          </x14:formula1>
          <xm:sqref>I5 I7 I9 I20 I15 I11 I13 I22 I24 I18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814E-CEA7-4805-B6B8-F55A25805425}">
  <dimension ref="A1:DH241"/>
  <sheetViews>
    <sheetView showGridLines="0" topLeftCell="D1" zoomScale="160" zoomScaleNormal="160" workbookViewId="0">
      <pane ySplit="1" topLeftCell="A5" activePane="bottomLeft" state="frozen"/>
      <selection pane="bottomLeft" activeCell="D5" sqref="D5"/>
    </sheetView>
  </sheetViews>
  <sheetFormatPr defaultColWidth="11.33203125" defaultRowHeight="10"/>
  <cols>
    <col min="1" max="1" width="32.58203125" style="58" customWidth="1"/>
    <col min="2" max="4" width="50.58203125" style="58" customWidth="1"/>
    <col min="5" max="5" width="28.58203125" style="58" customWidth="1"/>
    <col min="6" max="6" width="25.58203125" style="58" customWidth="1"/>
    <col min="7" max="10" width="18.58203125" style="58" customWidth="1"/>
    <col min="11" max="112" width="11.33203125" style="57"/>
    <col min="113" max="16384" width="11.33203125" style="58"/>
  </cols>
  <sheetData>
    <row r="1" spans="1:112" ht="33" customHeight="1">
      <c r="A1" s="86" t="s">
        <v>291</v>
      </c>
      <c r="B1" s="87"/>
      <c r="C1" s="87"/>
      <c r="D1" s="87"/>
      <c r="E1" s="87"/>
      <c r="F1" s="87"/>
      <c r="G1" s="87"/>
      <c r="H1" s="87"/>
      <c r="I1" s="87"/>
      <c r="J1" s="88"/>
    </row>
    <row r="2" spans="1:112" ht="22" hidden="1" customHeight="1">
      <c r="A2" s="59"/>
      <c r="B2" s="59"/>
      <c r="C2" s="59"/>
      <c r="D2" s="59"/>
      <c r="E2" s="59"/>
      <c r="F2" s="59"/>
      <c r="G2" s="59"/>
      <c r="H2" s="59"/>
      <c r="I2" s="59"/>
      <c r="J2" s="60"/>
    </row>
    <row r="3" spans="1:112" s="62" customFormat="1" ht="23.15" customHeight="1">
      <c r="A3" s="17" t="s">
        <v>9</v>
      </c>
      <c r="B3" s="17" t="s">
        <v>292</v>
      </c>
      <c r="C3" s="17"/>
      <c r="D3" s="17"/>
      <c r="E3" s="17"/>
      <c r="F3" s="17"/>
      <c r="G3" s="17"/>
      <c r="H3" s="17"/>
      <c r="I3" s="17"/>
      <c r="J3" s="17"/>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row>
    <row r="4" spans="1:112" s="62" customFormat="1" ht="23.15" customHeight="1">
      <c r="A4" s="18" t="s">
        <v>21</v>
      </c>
      <c r="B4" s="18" t="s">
        <v>88</v>
      </c>
      <c r="C4" s="18" t="s">
        <v>89</v>
      </c>
      <c r="D4" s="18" t="s">
        <v>90</v>
      </c>
      <c r="E4" s="18" t="s">
        <v>91</v>
      </c>
      <c r="F4" s="36" t="s">
        <v>123</v>
      </c>
      <c r="G4" s="36" t="s">
        <v>140</v>
      </c>
      <c r="H4" s="36" t="s">
        <v>124</v>
      </c>
      <c r="I4" s="36" t="s">
        <v>125</v>
      </c>
      <c r="J4" s="36" t="s">
        <v>126</v>
      </c>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row>
    <row r="5" spans="1:112" ht="243" customHeight="1">
      <c r="A5" s="69" t="s">
        <v>293</v>
      </c>
      <c r="B5" s="25" t="s">
        <v>477</v>
      </c>
      <c r="C5" s="25" t="s">
        <v>294</v>
      </c>
      <c r="D5" s="25" t="s">
        <v>478</v>
      </c>
      <c r="E5" s="26" t="s">
        <v>295</v>
      </c>
      <c r="F5" s="26" t="s">
        <v>296</v>
      </c>
      <c r="G5" s="26" t="s">
        <v>211</v>
      </c>
      <c r="H5" s="26" t="s">
        <v>290</v>
      </c>
      <c r="I5" s="26" t="s">
        <v>215</v>
      </c>
      <c r="J5" s="26" t="s">
        <v>107</v>
      </c>
    </row>
    <row r="6" spans="1:112" s="56" customFormat="1" ht="23.15" customHeight="1">
      <c r="A6" s="18" t="s">
        <v>33</v>
      </c>
      <c r="B6" s="18" t="s">
        <v>88</v>
      </c>
      <c r="C6" s="18" t="s">
        <v>89</v>
      </c>
      <c r="D6" s="18" t="s">
        <v>90</v>
      </c>
      <c r="E6" s="18" t="s">
        <v>91</v>
      </c>
      <c r="F6" s="36" t="s">
        <v>123</v>
      </c>
      <c r="G6" s="36" t="s">
        <v>140</v>
      </c>
      <c r="H6" s="36" t="s">
        <v>124</v>
      </c>
      <c r="I6" s="36" t="s">
        <v>125</v>
      </c>
      <c r="J6" s="36" t="s">
        <v>126</v>
      </c>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row>
    <row r="7" spans="1:112" ht="290.5">
      <c r="A7" s="71" t="s">
        <v>380</v>
      </c>
      <c r="B7" s="26" t="s">
        <v>481</v>
      </c>
      <c r="C7" s="26" t="s">
        <v>479</v>
      </c>
      <c r="D7" s="26" t="s">
        <v>480</v>
      </c>
      <c r="E7" s="26" t="s">
        <v>298</v>
      </c>
      <c r="F7" s="26" t="s">
        <v>297</v>
      </c>
      <c r="G7" s="26" t="s">
        <v>211</v>
      </c>
      <c r="H7" s="26" t="s">
        <v>290</v>
      </c>
      <c r="I7" s="26" t="s">
        <v>215</v>
      </c>
      <c r="J7" s="26" t="s">
        <v>108</v>
      </c>
    </row>
    <row r="8" spans="1:112" s="56" customFormat="1" ht="23.15" customHeight="1">
      <c r="A8" s="18" t="s">
        <v>45</v>
      </c>
      <c r="B8" s="18" t="s">
        <v>88</v>
      </c>
      <c r="C8" s="18" t="s">
        <v>89</v>
      </c>
      <c r="D8" s="18" t="s">
        <v>90</v>
      </c>
      <c r="E8" s="18" t="s">
        <v>91</v>
      </c>
      <c r="F8" s="36" t="s">
        <v>123</v>
      </c>
      <c r="G8" s="36" t="s">
        <v>140</v>
      </c>
      <c r="H8" s="36" t="s">
        <v>124</v>
      </c>
      <c r="I8" s="36" t="s">
        <v>125</v>
      </c>
      <c r="J8" s="36" t="s">
        <v>126</v>
      </c>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row>
    <row r="9" spans="1:112" ht="360">
      <c r="A9" s="71" t="s">
        <v>299</v>
      </c>
      <c r="B9" s="26" t="s">
        <v>426</v>
      </c>
      <c r="C9" s="26" t="s">
        <v>482</v>
      </c>
      <c r="D9" s="26" t="s">
        <v>483</v>
      </c>
      <c r="E9" s="26" t="s">
        <v>300</v>
      </c>
      <c r="F9" s="26" t="s">
        <v>484</v>
      </c>
      <c r="G9" s="26" t="s">
        <v>211</v>
      </c>
      <c r="H9" s="26" t="s">
        <v>290</v>
      </c>
      <c r="I9" s="26" t="s">
        <v>94</v>
      </c>
      <c r="J9" s="26" t="s">
        <v>389</v>
      </c>
    </row>
    <row r="10" spans="1:112" s="56" customFormat="1" ht="23.15" customHeight="1">
      <c r="A10" s="18" t="s">
        <v>57</v>
      </c>
      <c r="B10" s="18" t="s">
        <v>88</v>
      </c>
      <c r="C10" s="18" t="s">
        <v>89</v>
      </c>
      <c r="D10" s="18" t="s">
        <v>90</v>
      </c>
      <c r="E10" s="18" t="s">
        <v>91</v>
      </c>
      <c r="F10" s="36" t="s">
        <v>123</v>
      </c>
      <c r="G10" s="36" t="s">
        <v>140</v>
      </c>
      <c r="H10" s="36" t="s">
        <v>124</v>
      </c>
      <c r="I10" s="36" t="s">
        <v>125</v>
      </c>
      <c r="J10" s="36" t="s">
        <v>126</v>
      </c>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row>
    <row r="11" spans="1:112" ht="320.5">
      <c r="A11" s="71" t="s">
        <v>301</v>
      </c>
      <c r="B11" s="26" t="s">
        <v>305</v>
      </c>
      <c r="C11" s="26" t="s">
        <v>306</v>
      </c>
      <c r="D11" s="26" t="s">
        <v>304</v>
      </c>
      <c r="E11" s="26" t="s">
        <v>302</v>
      </c>
      <c r="F11" s="26" t="s">
        <v>303</v>
      </c>
      <c r="G11" s="26" t="s">
        <v>212</v>
      </c>
      <c r="H11" s="26" t="s">
        <v>213</v>
      </c>
      <c r="I11" s="26" t="s">
        <v>94</v>
      </c>
      <c r="J11" s="26" t="s">
        <v>388</v>
      </c>
    </row>
    <row r="12" spans="1:112" s="56" customFormat="1" ht="23.15" customHeight="1">
      <c r="A12" s="18" t="s">
        <v>68</v>
      </c>
      <c r="B12" s="18" t="s">
        <v>88</v>
      </c>
      <c r="C12" s="18" t="s">
        <v>89</v>
      </c>
      <c r="D12" s="18" t="s">
        <v>90</v>
      </c>
      <c r="E12" s="18" t="s">
        <v>91</v>
      </c>
      <c r="F12" s="36" t="s">
        <v>123</v>
      </c>
      <c r="G12" s="36" t="s">
        <v>140</v>
      </c>
      <c r="H12" s="36" t="s">
        <v>124</v>
      </c>
      <c r="I12" s="36" t="s">
        <v>125</v>
      </c>
      <c r="J12" s="36" t="s">
        <v>126</v>
      </c>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row>
    <row r="13" spans="1:112" ht="175.5" customHeight="1">
      <c r="A13" s="69" t="s">
        <v>307</v>
      </c>
      <c r="B13" s="26" t="s">
        <v>311</v>
      </c>
      <c r="C13" s="25" t="s">
        <v>427</v>
      </c>
      <c r="D13" s="25" t="s">
        <v>310</v>
      </c>
      <c r="E13" s="26" t="s">
        <v>308</v>
      </c>
      <c r="F13" s="26" t="s">
        <v>309</v>
      </c>
      <c r="G13" s="26" t="s">
        <v>212</v>
      </c>
      <c r="H13" s="26" t="s">
        <v>213</v>
      </c>
      <c r="I13" s="26" t="s">
        <v>215</v>
      </c>
      <c r="J13" s="26" t="s">
        <v>388</v>
      </c>
    </row>
    <row r="14" spans="1:112" s="56" customFormat="1" ht="23.15" customHeight="1">
      <c r="A14" s="18" t="s">
        <v>76</v>
      </c>
      <c r="B14" s="18" t="s">
        <v>88</v>
      </c>
      <c r="C14" s="18" t="s">
        <v>89</v>
      </c>
      <c r="D14" s="18" t="s">
        <v>90</v>
      </c>
      <c r="E14" s="18" t="s">
        <v>91</v>
      </c>
      <c r="F14" s="36" t="s">
        <v>123</v>
      </c>
      <c r="G14" s="36" t="s">
        <v>140</v>
      </c>
      <c r="H14" s="36" t="s">
        <v>124</v>
      </c>
      <c r="I14" s="36" t="s">
        <v>125</v>
      </c>
      <c r="J14" s="36" t="s">
        <v>126</v>
      </c>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row>
    <row r="15" spans="1:112" ht="41.25" customHeight="1">
      <c r="A15" s="69" t="s">
        <v>312</v>
      </c>
      <c r="B15" s="85" t="s">
        <v>44</v>
      </c>
      <c r="C15" s="85"/>
      <c r="D15" s="85"/>
      <c r="E15" s="85"/>
      <c r="F15" s="64"/>
      <c r="G15" s="26" t="s">
        <v>212</v>
      </c>
      <c r="H15" s="26" t="s">
        <v>213</v>
      </c>
      <c r="I15" s="26" t="s">
        <v>94</v>
      </c>
      <c r="J15" s="26" t="s">
        <v>76</v>
      </c>
    </row>
    <row r="16" spans="1:112" s="56" customFormat="1" ht="23.15" customHeight="1">
      <c r="A16" s="18" t="s">
        <v>83</v>
      </c>
      <c r="B16" s="18" t="s">
        <v>88</v>
      </c>
      <c r="C16" s="18" t="s">
        <v>89</v>
      </c>
      <c r="D16" s="18" t="s">
        <v>90</v>
      </c>
      <c r="E16" s="18" t="s">
        <v>91</v>
      </c>
      <c r="F16" s="36" t="s">
        <v>123</v>
      </c>
      <c r="G16" s="36" t="s">
        <v>140</v>
      </c>
      <c r="H16" s="36" t="s">
        <v>124</v>
      </c>
      <c r="I16" s="36" t="s">
        <v>125</v>
      </c>
      <c r="J16" s="36" t="s">
        <v>126</v>
      </c>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c r="CR16" s="63"/>
      <c r="CS16" s="63"/>
      <c r="CT16" s="63"/>
      <c r="CU16" s="63"/>
      <c r="CV16" s="63"/>
      <c r="CW16" s="63"/>
      <c r="CX16" s="63"/>
      <c r="CY16" s="63"/>
      <c r="CZ16" s="63"/>
      <c r="DA16" s="63"/>
      <c r="DB16" s="63"/>
      <c r="DC16" s="63"/>
      <c r="DD16" s="63"/>
      <c r="DE16" s="63"/>
      <c r="DF16" s="63"/>
      <c r="DG16" s="63"/>
      <c r="DH16" s="63"/>
    </row>
    <row r="17" spans="1:112" ht="127.5" customHeight="1">
      <c r="A17" s="69" t="s">
        <v>313</v>
      </c>
      <c r="B17" s="26" t="s">
        <v>314</v>
      </c>
      <c r="C17" s="26" t="s">
        <v>315</v>
      </c>
      <c r="D17" s="26" t="s">
        <v>316</v>
      </c>
      <c r="E17" s="26" t="s">
        <v>129</v>
      </c>
      <c r="F17" s="27"/>
      <c r="G17" s="26" t="s">
        <v>95</v>
      </c>
      <c r="H17" s="26" t="s">
        <v>214</v>
      </c>
      <c r="I17" s="26" t="s">
        <v>215</v>
      </c>
      <c r="J17" s="28"/>
    </row>
    <row r="18" spans="1:112" s="62" customFormat="1" ht="23.15" customHeight="1">
      <c r="A18" s="17" t="s">
        <v>10</v>
      </c>
      <c r="B18" s="17" t="s">
        <v>341</v>
      </c>
      <c r="C18" s="17"/>
      <c r="D18" s="17"/>
      <c r="E18" s="17"/>
      <c r="F18" s="17"/>
      <c r="G18" s="17"/>
      <c r="H18" s="17"/>
      <c r="I18" s="17"/>
      <c r="J18" s="17"/>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row>
    <row r="19" spans="1:112" s="56" customFormat="1" ht="23.15" customHeight="1">
      <c r="A19" s="18" t="s">
        <v>22</v>
      </c>
      <c r="B19" s="18" t="s">
        <v>88</v>
      </c>
      <c r="C19" s="18" t="s">
        <v>89</v>
      </c>
      <c r="D19" s="18" t="s">
        <v>90</v>
      </c>
      <c r="E19" s="18" t="s">
        <v>91</v>
      </c>
      <c r="F19" s="36" t="s">
        <v>123</v>
      </c>
      <c r="G19" s="36" t="s">
        <v>140</v>
      </c>
      <c r="H19" s="36" t="s">
        <v>124</v>
      </c>
      <c r="I19" s="36" t="s">
        <v>125</v>
      </c>
      <c r="J19" s="36" t="s">
        <v>126</v>
      </c>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c r="CY19" s="63"/>
      <c r="CZ19" s="63"/>
      <c r="DA19" s="63"/>
      <c r="DB19" s="63"/>
      <c r="DC19" s="63"/>
      <c r="DD19" s="63"/>
      <c r="DE19" s="63"/>
      <c r="DF19" s="63"/>
      <c r="DG19" s="63"/>
      <c r="DH19" s="63"/>
    </row>
    <row r="20" spans="1:112" ht="320.5">
      <c r="A20" s="71" t="s">
        <v>317</v>
      </c>
      <c r="B20" s="26" t="s">
        <v>319</v>
      </c>
      <c r="C20" s="26" t="s">
        <v>320</v>
      </c>
      <c r="D20" s="26" t="s">
        <v>321</v>
      </c>
      <c r="E20" s="26" t="s">
        <v>139</v>
      </c>
      <c r="F20" s="26" t="s">
        <v>318</v>
      </c>
      <c r="G20" s="28" t="s">
        <v>95</v>
      </c>
      <c r="H20" s="26" t="s">
        <v>290</v>
      </c>
      <c r="I20" s="26" t="s">
        <v>215</v>
      </c>
      <c r="J20" s="28"/>
    </row>
    <row r="21" spans="1:112" s="56" customFormat="1" ht="23.15" customHeight="1">
      <c r="A21" s="18" t="s">
        <v>34</v>
      </c>
      <c r="B21" s="18" t="s">
        <v>88</v>
      </c>
      <c r="C21" s="18" t="s">
        <v>89</v>
      </c>
      <c r="D21" s="18" t="s">
        <v>90</v>
      </c>
      <c r="E21" s="18" t="s">
        <v>91</v>
      </c>
      <c r="F21" s="36" t="s">
        <v>123</v>
      </c>
      <c r="G21" s="36" t="s">
        <v>140</v>
      </c>
      <c r="H21" s="36" t="s">
        <v>124</v>
      </c>
      <c r="I21" s="36" t="s">
        <v>125</v>
      </c>
      <c r="J21" s="36" t="s">
        <v>126</v>
      </c>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c r="CW21" s="63"/>
      <c r="CX21" s="63"/>
      <c r="CY21" s="63"/>
      <c r="CZ21" s="63"/>
      <c r="DA21" s="63"/>
      <c r="DB21" s="63"/>
      <c r="DC21" s="63"/>
      <c r="DD21" s="63"/>
      <c r="DE21" s="63"/>
      <c r="DF21" s="63"/>
      <c r="DG21" s="63"/>
      <c r="DH21" s="63"/>
    </row>
    <row r="22" spans="1:112" ht="173.25" customHeight="1">
      <c r="A22" s="69" t="s">
        <v>322</v>
      </c>
      <c r="B22" s="25" t="s">
        <v>326</v>
      </c>
      <c r="C22" s="25" t="s">
        <v>325</v>
      </c>
      <c r="D22" s="25" t="s">
        <v>324</v>
      </c>
      <c r="E22" s="25" t="s">
        <v>323</v>
      </c>
      <c r="F22" s="28"/>
      <c r="G22" s="28" t="s">
        <v>95</v>
      </c>
      <c r="H22" s="26" t="s">
        <v>290</v>
      </c>
      <c r="I22" s="26" t="s">
        <v>94</v>
      </c>
      <c r="J22" s="26" t="s">
        <v>387</v>
      </c>
    </row>
    <row r="23" spans="1:112" s="56" customFormat="1" ht="23.15" customHeight="1">
      <c r="A23" s="18" t="s">
        <v>46</v>
      </c>
      <c r="B23" s="18" t="s">
        <v>88</v>
      </c>
      <c r="C23" s="18" t="s">
        <v>89</v>
      </c>
      <c r="D23" s="18" t="s">
        <v>90</v>
      </c>
      <c r="E23" s="18" t="s">
        <v>91</v>
      </c>
      <c r="F23" s="36" t="s">
        <v>123</v>
      </c>
      <c r="G23" s="36" t="s">
        <v>140</v>
      </c>
      <c r="H23" s="36" t="s">
        <v>124</v>
      </c>
      <c r="I23" s="36" t="s">
        <v>125</v>
      </c>
      <c r="J23" s="36" t="s">
        <v>126</v>
      </c>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c r="CY23" s="63"/>
      <c r="CZ23" s="63"/>
      <c r="DA23" s="63"/>
      <c r="DB23" s="63"/>
      <c r="DC23" s="63"/>
      <c r="DD23" s="63"/>
      <c r="DE23" s="63"/>
      <c r="DF23" s="63"/>
      <c r="DG23" s="63"/>
      <c r="DH23" s="63"/>
    </row>
    <row r="24" spans="1:112" ht="225.75" customHeight="1">
      <c r="A24" s="71" t="s">
        <v>327</v>
      </c>
      <c r="B24" s="26" t="s">
        <v>429</v>
      </c>
      <c r="C24" s="26" t="s">
        <v>430</v>
      </c>
      <c r="D24" s="26" t="s">
        <v>431</v>
      </c>
      <c r="E24" s="25" t="s">
        <v>329</v>
      </c>
      <c r="F24" s="25" t="s">
        <v>328</v>
      </c>
      <c r="G24" s="28" t="s">
        <v>95</v>
      </c>
      <c r="H24" s="26" t="s">
        <v>290</v>
      </c>
      <c r="I24" s="26" t="s">
        <v>94</v>
      </c>
      <c r="J24" s="28"/>
    </row>
    <row r="25" spans="1:112" s="56" customFormat="1" ht="23.15" customHeight="1">
      <c r="A25" s="18" t="s">
        <v>58</v>
      </c>
      <c r="B25" s="18" t="s">
        <v>88</v>
      </c>
      <c r="C25" s="18" t="s">
        <v>89</v>
      </c>
      <c r="D25" s="18" t="s">
        <v>90</v>
      </c>
      <c r="E25" s="18" t="s">
        <v>91</v>
      </c>
      <c r="F25" s="36" t="s">
        <v>123</v>
      </c>
      <c r="G25" s="36" t="s">
        <v>140</v>
      </c>
      <c r="H25" s="36" t="s">
        <v>124</v>
      </c>
      <c r="I25" s="36" t="s">
        <v>125</v>
      </c>
      <c r="J25" s="36" t="s">
        <v>126</v>
      </c>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row>
    <row r="26" spans="1:112" ht="90.5">
      <c r="A26" s="69" t="s">
        <v>330</v>
      </c>
      <c r="B26" s="25" t="s">
        <v>332</v>
      </c>
      <c r="C26" s="25" t="s">
        <v>428</v>
      </c>
      <c r="D26" s="25" t="s">
        <v>333</v>
      </c>
      <c r="E26" s="25" t="s">
        <v>331</v>
      </c>
      <c r="F26" s="28"/>
      <c r="G26" s="28" t="s">
        <v>95</v>
      </c>
      <c r="H26" s="26" t="s">
        <v>290</v>
      </c>
      <c r="I26" s="26" t="s">
        <v>94</v>
      </c>
      <c r="J26" s="28"/>
    </row>
    <row r="27" spans="1:112" s="56" customFormat="1" ht="23.15" customHeight="1">
      <c r="A27" s="18" t="s">
        <v>69</v>
      </c>
      <c r="B27" s="18" t="s">
        <v>88</v>
      </c>
      <c r="C27" s="18" t="s">
        <v>89</v>
      </c>
      <c r="D27" s="18" t="s">
        <v>90</v>
      </c>
      <c r="E27" s="18" t="s">
        <v>91</v>
      </c>
      <c r="F27" s="36" t="s">
        <v>123</v>
      </c>
      <c r="G27" s="36" t="s">
        <v>140</v>
      </c>
      <c r="H27" s="36" t="s">
        <v>124</v>
      </c>
      <c r="I27" s="36" t="s">
        <v>125</v>
      </c>
      <c r="J27" s="36" t="s">
        <v>126</v>
      </c>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c r="CY27" s="63"/>
      <c r="CZ27" s="63"/>
      <c r="DA27" s="63"/>
      <c r="DB27" s="63"/>
      <c r="DC27" s="63"/>
      <c r="DD27" s="63"/>
      <c r="DE27" s="63"/>
      <c r="DF27" s="63"/>
      <c r="DG27" s="63"/>
      <c r="DH27" s="63"/>
    </row>
    <row r="28" spans="1:112" ht="165" customHeight="1">
      <c r="A28" s="71" t="s">
        <v>334</v>
      </c>
      <c r="B28" s="25" t="s">
        <v>485</v>
      </c>
      <c r="C28" s="25" t="s">
        <v>486</v>
      </c>
      <c r="D28" s="25" t="s">
        <v>487</v>
      </c>
      <c r="E28" s="26" t="s">
        <v>335</v>
      </c>
      <c r="F28" s="26"/>
      <c r="G28" s="26" t="s">
        <v>212</v>
      </c>
      <c r="H28" s="26" t="s">
        <v>213</v>
      </c>
      <c r="I28" s="26" t="s">
        <v>215</v>
      </c>
      <c r="J28" s="26"/>
    </row>
    <row r="29" spans="1:112" s="56" customFormat="1" ht="22.5" customHeight="1">
      <c r="A29" s="18" t="s">
        <v>77</v>
      </c>
      <c r="B29" s="18" t="s">
        <v>88</v>
      </c>
      <c r="C29" s="18" t="s">
        <v>89</v>
      </c>
      <c r="D29" s="18" t="s">
        <v>90</v>
      </c>
      <c r="E29" s="18" t="s">
        <v>91</v>
      </c>
      <c r="F29" s="36" t="s">
        <v>123</v>
      </c>
      <c r="G29" s="36" t="s">
        <v>140</v>
      </c>
      <c r="H29" s="36" t="s">
        <v>124</v>
      </c>
      <c r="I29" s="36" t="s">
        <v>125</v>
      </c>
      <c r="J29" s="36" t="s">
        <v>126</v>
      </c>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row>
    <row r="30" spans="1:112" ht="49.5" customHeight="1">
      <c r="A30" s="71" t="s">
        <v>336</v>
      </c>
      <c r="B30" s="85" t="s">
        <v>59</v>
      </c>
      <c r="C30" s="85"/>
      <c r="D30" s="85"/>
      <c r="E30" s="85"/>
      <c r="F30" s="24"/>
      <c r="G30" s="28" t="s">
        <v>212</v>
      </c>
      <c r="H30" s="26" t="s">
        <v>213</v>
      </c>
      <c r="I30" s="26" t="s">
        <v>94</v>
      </c>
      <c r="J30" s="28"/>
    </row>
    <row r="31" spans="1:112" s="56" customFormat="1" ht="23.15" customHeight="1">
      <c r="A31" s="18" t="s">
        <v>84</v>
      </c>
      <c r="B31" s="18" t="s">
        <v>88</v>
      </c>
      <c r="C31" s="18" t="s">
        <v>89</v>
      </c>
      <c r="D31" s="18" t="s">
        <v>90</v>
      </c>
      <c r="E31" s="18" t="s">
        <v>91</v>
      </c>
      <c r="F31" s="36" t="s">
        <v>123</v>
      </c>
      <c r="G31" s="36" t="s">
        <v>140</v>
      </c>
      <c r="H31" s="36" t="s">
        <v>124</v>
      </c>
      <c r="I31" s="36" t="s">
        <v>125</v>
      </c>
      <c r="J31" s="36" t="s">
        <v>126</v>
      </c>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row>
    <row r="32" spans="1:112" ht="126" customHeight="1">
      <c r="A32" s="69" t="s">
        <v>337</v>
      </c>
      <c r="B32" s="26" t="s">
        <v>340</v>
      </c>
      <c r="C32" s="26" t="s">
        <v>339</v>
      </c>
      <c r="D32" s="26" t="s">
        <v>338</v>
      </c>
      <c r="E32" s="26" t="s">
        <v>129</v>
      </c>
      <c r="F32" s="27"/>
      <c r="G32" s="26" t="s">
        <v>95</v>
      </c>
      <c r="H32" s="26" t="s">
        <v>214</v>
      </c>
      <c r="I32" s="26" t="s">
        <v>215</v>
      </c>
      <c r="J32" s="28"/>
    </row>
    <row r="33" s="57" customFormat="1"/>
    <row r="34" s="57" customFormat="1"/>
    <row r="35" s="57" customFormat="1"/>
    <row r="36" s="57" customFormat="1"/>
    <row r="37" s="57" customFormat="1"/>
    <row r="38" s="57" customFormat="1"/>
    <row r="39" s="57" customFormat="1"/>
    <row r="40" s="57" customFormat="1"/>
    <row r="41" s="57" customFormat="1"/>
    <row r="42" s="57" customFormat="1"/>
    <row r="43" s="57" customFormat="1"/>
    <row r="44" s="57" customFormat="1"/>
    <row r="45" s="57" customFormat="1"/>
    <row r="46" s="57" customFormat="1"/>
    <row r="47" s="57" customFormat="1"/>
    <row r="48" s="57" customFormat="1"/>
    <row r="49" s="57" customFormat="1"/>
    <row r="50" s="57" customFormat="1"/>
    <row r="51" s="57" customFormat="1"/>
    <row r="52" s="57" customFormat="1"/>
    <row r="53" s="57" customFormat="1"/>
    <row r="54" s="57" customFormat="1"/>
    <row r="55" s="57" customFormat="1"/>
    <row r="56" s="57" customFormat="1"/>
    <row r="57" s="57" customFormat="1"/>
    <row r="58" s="57" customFormat="1"/>
    <row r="59" s="57" customFormat="1"/>
    <row r="60" s="57" customFormat="1"/>
    <row r="61" s="57" customFormat="1"/>
    <row r="62" s="57" customFormat="1"/>
    <row r="63" s="57" customFormat="1"/>
    <row r="64" s="57" customFormat="1"/>
    <row r="65" s="57" customFormat="1"/>
    <row r="66" s="57" customFormat="1"/>
    <row r="67" s="57" customFormat="1"/>
    <row r="68" s="57" customFormat="1"/>
    <row r="69" s="57" customFormat="1"/>
    <row r="70" s="57" customFormat="1"/>
    <row r="71" s="57" customFormat="1"/>
    <row r="72" s="57" customFormat="1"/>
    <row r="73" s="57" customFormat="1"/>
    <row r="74" s="57" customFormat="1"/>
    <row r="75" s="57" customFormat="1"/>
    <row r="76" s="57" customFormat="1"/>
    <row r="77" s="57" customFormat="1"/>
    <row r="78" s="57" customFormat="1"/>
    <row r="79" s="57" customFormat="1"/>
    <row r="80" s="57" customFormat="1"/>
    <row r="81" s="57" customFormat="1"/>
    <row r="82" s="57" customFormat="1"/>
    <row r="83" s="57" customFormat="1"/>
    <row r="84" s="57" customFormat="1"/>
    <row r="85" s="57" customFormat="1"/>
    <row r="86" s="57" customFormat="1"/>
    <row r="87" s="57" customFormat="1"/>
    <row r="88" s="57" customFormat="1"/>
    <row r="89" s="57" customFormat="1"/>
    <row r="90" s="57" customFormat="1"/>
    <row r="91" s="57" customFormat="1"/>
    <row r="92" s="57" customFormat="1"/>
    <row r="93" s="57" customFormat="1"/>
    <row r="94" s="57" customFormat="1"/>
    <row r="95" s="57" customFormat="1"/>
    <row r="96" s="57" customFormat="1"/>
    <row r="97" s="57" customFormat="1"/>
    <row r="98" s="57" customFormat="1"/>
    <row r="99" s="57" customFormat="1"/>
    <row r="100" s="57" customFormat="1"/>
    <row r="101" s="57" customFormat="1"/>
    <row r="102" s="57" customFormat="1"/>
    <row r="103" s="57" customFormat="1"/>
    <row r="104" s="57" customFormat="1"/>
    <row r="105" s="57" customFormat="1"/>
    <row r="106" s="57" customFormat="1"/>
    <row r="107" s="57" customFormat="1"/>
    <row r="108" s="57" customFormat="1"/>
    <row r="109" s="57" customFormat="1"/>
    <row r="110" s="57" customFormat="1"/>
    <row r="111" s="57" customFormat="1"/>
    <row r="112" s="57" customFormat="1"/>
    <row r="113" s="57" customFormat="1"/>
    <row r="114" s="57" customFormat="1"/>
    <row r="115" s="57" customFormat="1"/>
    <row r="116" s="57" customFormat="1"/>
    <row r="117" s="57" customFormat="1"/>
    <row r="118" s="57" customFormat="1"/>
    <row r="119" s="57" customFormat="1"/>
    <row r="120" s="57" customFormat="1"/>
    <row r="121" s="57" customFormat="1"/>
    <row r="122" s="57" customFormat="1"/>
    <row r="123" s="57" customFormat="1"/>
    <row r="124" s="57" customFormat="1"/>
    <row r="125" s="57" customFormat="1"/>
    <row r="126" s="57" customFormat="1"/>
    <row r="127" s="57" customFormat="1"/>
    <row r="128" s="57" customFormat="1"/>
    <row r="129" s="57" customFormat="1"/>
    <row r="130" s="57" customFormat="1"/>
    <row r="131" s="57" customFormat="1"/>
    <row r="132" s="57" customFormat="1"/>
    <row r="133" s="57" customFormat="1"/>
    <row r="134" s="57" customFormat="1"/>
    <row r="135" s="57" customFormat="1"/>
    <row r="136" s="57" customFormat="1"/>
    <row r="137" s="57" customFormat="1"/>
    <row r="138" s="57" customFormat="1"/>
    <row r="139" s="57" customFormat="1"/>
    <row r="140" s="57" customFormat="1"/>
    <row r="141" s="57" customFormat="1"/>
    <row r="142" s="57" customFormat="1"/>
    <row r="143" s="57" customFormat="1"/>
    <row r="144" s="57" customFormat="1"/>
    <row r="145" s="57" customFormat="1"/>
    <row r="146" s="57" customFormat="1"/>
    <row r="147" s="57" customFormat="1"/>
    <row r="148" s="57" customFormat="1"/>
    <row r="149" s="57" customFormat="1"/>
    <row r="150" s="57" customFormat="1"/>
    <row r="151" s="57" customFormat="1"/>
    <row r="152" s="57" customFormat="1"/>
    <row r="153" s="57" customFormat="1"/>
    <row r="154" s="57" customFormat="1"/>
    <row r="155" s="57" customFormat="1"/>
    <row r="156" s="57" customFormat="1"/>
    <row r="157" s="57" customFormat="1"/>
    <row r="158" s="57" customFormat="1"/>
    <row r="159" s="57" customFormat="1"/>
    <row r="160" s="57" customFormat="1"/>
    <row r="161" s="57" customFormat="1"/>
    <row r="162" s="57" customFormat="1"/>
    <row r="163" s="57" customFormat="1"/>
    <row r="164" s="57" customFormat="1"/>
    <row r="165" s="57" customFormat="1"/>
    <row r="166" s="57" customFormat="1"/>
    <row r="167" s="57" customFormat="1"/>
    <row r="168" s="57" customFormat="1"/>
    <row r="169" s="57" customFormat="1"/>
    <row r="170" s="57" customFormat="1"/>
    <row r="171" s="57" customFormat="1"/>
    <row r="172" s="57" customFormat="1"/>
    <row r="173" s="57" customFormat="1"/>
    <row r="174" s="57" customFormat="1"/>
    <row r="175" s="57" customFormat="1"/>
    <row r="176" s="57" customFormat="1"/>
    <row r="177" s="57" customFormat="1"/>
    <row r="178" s="57" customFormat="1"/>
    <row r="179" s="57" customFormat="1"/>
    <row r="180" s="57" customFormat="1"/>
    <row r="181" s="57" customFormat="1"/>
    <row r="182" s="57" customFormat="1"/>
    <row r="183" s="57" customFormat="1"/>
    <row r="184" s="57" customFormat="1"/>
    <row r="185" s="57" customFormat="1"/>
    <row r="186" s="57" customFormat="1"/>
    <row r="187" s="57" customFormat="1"/>
    <row r="188" s="57" customFormat="1"/>
    <row r="189" s="57" customFormat="1"/>
    <row r="190" s="57" customFormat="1"/>
    <row r="191" s="57" customFormat="1"/>
    <row r="192" s="57" customFormat="1"/>
    <row r="193" s="57" customFormat="1"/>
    <row r="194" s="57" customFormat="1"/>
    <row r="195" s="57" customFormat="1"/>
    <row r="196" s="57" customFormat="1"/>
    <row r="197" s="57" customFormat="1"/>
    <row r="198" s="57" customFormat="1"/>
    <row r="199" s="57" customFormat="1"/>
    <row r="200" s="57" customFormat="1"/>
    <row r="201" s="57" customFormat="1"/>
    <row r="202" s="57" customFormat="1"/>
    <row r="203" s="57" customFormat="1"/>
    <row r="204" s="57" customFormat="1"/>
    <row r="205" s="57" customFormat="1"/>
    <row r="206" s="57" customFormat="1"/>
    <row r="207" s="57" customFormat="1"/>
    <row r="208" s="57" customFormat="1"/>
    <row r="209" s="57" customFormat="1"/>
    <row r="210" s="57" customFormat="1"/>
    <row r="211" s="57" customFormat="1"/>
    <row r="212" s="57" customFormat="1"/>
    <row r="213" s="57" customFormat="1"/>
    <row r="214" s="57" customFormat="1"/>
    <row r="215" s="57" customFormat="1"/>
    <row r="216" s="57" customFormat="1"/>
    <row r="217" s="57" customFormat="1"/>
    <row r="218" s="57" customFormat="1"/>
    <row r="219" s="57" customFormat="1"/>
    <row r="220" s="57" customFormat="1"/>
    <row r="221" s="57" customFormat="1"/>
    <row r="222" s="57" customFormat="1"/>
    <row r="223" s="57" customFormat="1"/>
    <row r="224" s="57" customFormat="1"/>
    <row r="225" s="57" customFormat="1"/>
    <row r="226" s="57" customFormat="1"/>
    <row r="227" s="57" customFormat="1"/>
    <row r="228" s="57" customFormat="1"/>
    <row r="229" s="57" customFormat="1"/>
    <row r="230" s="57" customFormat="1"/>
    <row r="231" s="57" customFormat="1"/>
    <row r="232" s="57" customFormat="1"/>
    <row r="233" s="57" customFormat="1"/>
    <row r="234" s="57" customFormat="1"/>
    <row r="235" s="57" customFormat="1"/>
    <row r="236" s="57" customFormat="1"/>
    <row r="237" s="57" customFormat="1"/>
    <row r="238" s="57" customFormat="1"/>
    <row r="239" s="57" customFormat="1"/>
    <row r="240" s="57" customFormat="1"/>
    <row r="241" s="57" customFormat="1"/>
  </sheetData>
  <mergeCells count="3">
    <mergeCell ref="A1:J1"/>
    <mergeCell ref="B30:E30"/>
    <mergeCell ref="B15:E15"/>
  </mergeCells>
  <conditionalFormatting sqref="B3:B4 B6 B10 B12 B14 B23 B25 B27 B29">
    <cfRule type="expression" dxfId="31" priority="334">
      <formula>#REF! = "A"</formula>
    </cfRule>
  </conditionalFormatting>
  <conditionalFormatting sqref="B8">
    <cfRule type="expression" dxfId="30" priority="47">
      <formula>#REF! = "A"</formula>
    </cfRule>
  </conditionalFormatting>
  <conditionalFormatting sqref="B16:B21">
    <cfRule type="expression" dxfId="29" priority="30">
      <formula>#REF! = "A"</formula>
    </cfRule>
  </conditionalFormatting>
  <conditionalFormatting sqref="B31:B1048576">
    <cfRule type="expression" dxfId="28" priority="77">
      <formula>#REF! = "A"</formula>
    </cfRule>
  </conditionalFormatting>
  <conditionalFormatting sqref="C3:C4 C6 C8 C10:C12 C14 C18:C19 C21 C23 C25 C27 C29 C31 C33:C1048576">
    <cfRule type="expression" dxfId="27" priority="335">
      <formula>#REF! = "B"</formula>
    </cfRule>
  </conditionalFormatting>
  <conditionalFormatting sqref="C16">
    <cfRule type="expression" dxfId="26" priority="31">
      <formula>#REF! = "B"</formula>
    </cfRule>
  </conditionalFormatting>
  <conditionalFormatting sqref="C17:D17">
    <cfRule type="expression" dxfId="25" priority="28">
      <formula>#REF! = "A"</formula>
    </cfRule>
  </conditionalFormatting>
  <conditionalFormatting sqref="C20:D20">
    <cfRule type="expression" dxfId="24" priority="48">
      <formula>#REF! = "A"</formula>
    </cfRule>
  </conditionalFormatting>
  <conditionalFormatting sqref="C32:D32">
    <cfRule type="expression" dxfId="23" priority="72">
      <formula>#REF! = "A"</formula>
    </cfRule>
  </conditionalFormatting>
  <conditionalFormatting sqref="D3:D4 D6 D8 D10 D12 D14 D18:D19 D21 D23 D25 D27 D29 D31 D33:D1048576">
    <cfRule type="expression" dxfId="22" priority="336">
      <formula>#REF! = "C"</formula>
    </cfRule>
  </conditionalFormatting>
  <conditionalFormatting sqref="D11">
    <cfRule type="expression" dxfId="21" priority="37">
      <formula>#REF! = "B"</formula>
    </cfRule>
  </conditionalFormatting>
  <conditionalFormatting sqref="D16">
    <cfRule type="expression" dxfId="20" priority="32">
      <formula>#REF! = "C"</formula>
    </cfRule>
  </conditionalFormatting>
  <conditionalFormatting sqref="E6:E10 E14">
    <cfRule type="expression" dxfId="18" priority="22">
      <formula>#REF! = "D"</formula>
    </cfRule>
  </conditionalFormatting>
  <conditionalFormatting sqref="E16:E21">
    <cfRule type="expression" dxfId="17" priority="33">
      <formula>#REF! = "D"</formula>
    </cfRule>
  </conditionalFormatting>
  <conditionalFormatting sqref="E31:E1048576">
    <cfRule type="expression" dxfId="16" priority="80">
      <formula>#REF! = "D"</formula>
    </cfRule>
  </conditionalFormatting>
  <conditionalFormatting sqref="E3:J3 E4">
    <cfRule type="expression" dxfId="15" priority="158">
      <formula>#REF! = "D"</formula>
    </cfRule>
  </conditionalFormatting>
  <conditionalFormatting sqref="E9:J9">
    <cfRule type="expression" dxfId="14" priority="17">
      <formula>#REF! = "D"</formula>
    </cfRule>
  </conditionalFormatting>
  <conditionalFormatting sqref="E11:J13">
    <cfRule type="expression" dxfId="13" priority="11">
      <formula>#REF! = "D"</formula>
    </cfRule>
  </conditionalFormatting>
  <conditionalFormatting sqref="E23:J23">
    <cfRule type="expression" dxfId="12" priority="6">
      <formula>#REF! = "D"</formula>
    </cfRule>
  </conditionalFormatting>
  <conditionalFormatting sqref="E25:J25">
    <cfRule type="expression" dxfId="11" priority="5">
      <formula>#REF! = "D"</formula>
    </cfRule>
  </conditionalFormatting>
  <conditionalFormatting sqref="E27:J29">
    <cfRule type="expression" dxfId="10" priority="3">
      <formula>#REF! = "D"</formula>
    </cfRule>
  </conditionalFormatting>
  <conditionalFormatting sqref="F4:J8">
    <cfRule type="expression" dxfId="9" priority="13">
      <formula>#REF! = "D"</formula>
    </cfRule>
  </conditionalFormatting>
  <conditionalFormatting sqref="F10:J10">
    <cfRule type="expression" dxfId="8" priority="12">
      <formula>#REF! = "D"</formula>
    </cfRule>
  </conditionalFormatting>
  <conditionalFormatting sqref="F14:J16">
    <cfRule type="expression" dxfId="7" priority="9">
      <formula>#REF! = "D"</formula>
    </cfRule>
  </conditionalFormatting>
  <conditionalFormatting sqref="F18:J19">
    <cfRule type="expression" dxfId="6" priority="8">
      <formula>#REF! = "D"</formula>
    </cfRule>
  </conditionalFormatting>
  <conditionalFormatting sqref="F21:J21">
    <cfRule type="expression" dxfId="5" priority="7">
      <formula>#REF! = "D"</formula>
    </cfRule>
  </conditionalFormatting>
  <conditionalFormatting sqref="F31:J31">
    <cfRule type="expression" dxfId="4" priority="2">
      <formula>#REF! = "D"</formula>
    </cfRule>
  </conditionalFormatting>
  <conditionalFormatting sqref="G17:I17">
    <cfRule type="expression" dxfId="3" priority="1">
      <formula>#REF! = "D"</formula>
    </cfRule>
  </conditionalFormatting>
  <conditionalFormatting sqref="G32:I32">
    <cfRule type="expression" dxfId="2" priority="70">
      <formula>#REF! = "D"</formula>
    </cfRule>
  </conditionalFormatting>
  <conditionalFormatting sqref="H20:I20 H22:I22 H24:I24 H26:I26">
    <cfRule type="expression" dxfId="1" priority="52">
      <formula>#REF! = "D"</formula>
    </cfRule>
  </conditionalFormatting>
  <conditionalFormatting sqref="H30:I30">
    <cfRule type="expression" dxfId="0" priority="337">
      <formula>#REF! = "D"</formula>
    </cfRule>
  </conditionalFormatting>
  <pageMargins left="0.27559055118110237" right="0.27559055118110237" top="0.39370078740157483" bottom="0.39370078740157483" header="0.27559055118110237" footer="0.27559055118110237"/>
  <pageSetup paperSize="8" scale="59" orientation="landscape" horizontalDpi="300" verticalDpi="300" r:id="rId1"/>
  <rowBreaks count="3" manualBreakCount="3">
    <brk id="9" max="9" man="1"/>
    <brk id="17" max="9" man="1"/>
    <brk id="26" max="9" man="1"/>
  </rowBreaks>
  <extLst>
    <ext xmlns:x14="http://schemas.microsoft.com/office/spreadsheetml/2009/9/main" uri="{78C0D931-6437-407d-A8EE-F0AAD7539E65}">
      <x14:conditionalFormattings>
        <x14:conditionalFormatting xmlns:xm="http://schemas.microsoft.com/office/excel/2006/main">
          <x14:cfRule type="expression" priority="50" id="{FCD06D60-FB65-453C-B0F3-75E28CAF7BDA}">
            <xm:f>'Human oversight and control'!#REF!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C34A1B82-B2F2-4555-99D6-A4FD95A13E9B}">
          <x14:formula1>
            <xm:f>Validierung!$B$4:$B$6</xm:f>
          </x14:formula1>
          <xm:sqref>H32 H28 H13 H15 H11 H22 H20 H30 H7 H24 H26 H9 H5 H17</xm:sqref>
        </x14:dataValidation>
        <x14:dataValidation type="list" allowBlank="1" showInputMessage="1" showErrorMessage="1" xr:uid="{FE925627-1A8E-49CD-A27C-843B93BF1666}">
          <x14:formula1>
            <xm:f>Validierung!$A$4:$A$7</xm:f>
          </x14:formula1>
          <xm:sqref>G32</xm:sqref>
        </x14:dataValidation>
        <x14:dataValidation type="list" allowBlank="1" showInputMessage="1" showErrorMessage="1" xr:uid="{F6F4DCB5-8270-473B-96BC-67471FA005B7}">
          <x14:formula1>
            <xm:f>Validierung!$A$4:$A$6</xm:f>
          </x14:formula1>
          <xm:sqref>G30 G28 G26 G24 G22 G20 G5 G13 G11 G9 G7 G15</xm:sqref>
        </x14:dataValidation>
        <x14:dataValidation type="list" allowBlank="1" showInputMessage="1" showErrorMessage="1" xr:uid="{BC402231-5BAF-4CAE-A7EF-87104D56AE2E}">
          <x14:formula1>
            <xm:f>Validierung!$E$4:$E$6</xm:f>
          </x14:formula1>
          <xm:sqref>I5 I7 I9 I11 I13 I15 I17 I20 I22 I24 I26 I28 I30 I32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C310-6484-40DA-B597-E80054F81D44}">
  <dimension ref="A1:N8"/>
  <sheetViews>
    <sheetView workbookViewId="0">
      <selection activeCell="B18" sqref="B18"/>
    </sheetView>
  </sheetViews>
  <sheetFormatPr defaultColWidth="9" defaultRowHeight="14"/>
  <cols>
    <col min="1" max="1" width="22.83203125" style="3" customWidth="1"/>
    <col min="2" max="2" width="28.75" style="3" customWidth="1"/>
    <col min="3" max="3" width="14.75" style="3" customWidth="1"/>
    <col min="4" max="4" width="9" style="3"/>
    <col min="5" max="5" width="16.25" style="3" customWidth="1"/>
    <col min="6" max="16384" width="9" style="3"/>
  </cols>
  <sheetData>
    <row r="1" spans="1:14" ht="67.5" customHeight="1">
      <c r="A1" s="93" t="s">
        <v>109</v>
      </c>
      <c r="B1" s="93"/>
      <c r="C1" s="93"/>
      <c r="D1" s="93"/>
      <c r="E1" s="93"/>
      <c r="F1" s="93"/>
      <c r="G1" s="93"/>
      <c r="H1" s="93"/>
      <c r="I1" s="93"/>
      <c r="J1" s="93"/>
      <c r="K1" s="93"/>
      <c r="L1" s="93"/>
      <c r="M1" s="93"/>
      <c r="N1" s="93"/>
    </row>
    <row r="3" spans="1:14">
      <c r="A3" s="11" t="s">
        <v>110</v>
      </c>
      <c r="B3" s="11" t="s">
        <v>111</v>
      </c>
      <c r="C3" s="11" t="s">
        <v>112</v>
      </c>
      <c r="D3" s="11" t="s">
        <v>113</v>
      </c>
      <c r="E3" s="11" t="s">
        <v>92</v>
      </c>
    </row>
    <row r="4" spans="1:14">
      <c r="A4" s="3" t="s">
        <v>95</v>
      </c>
      <c r="B4" s="3" t="s">
        <v>290</v>
      </c>
      <c r="C4" s="3" t="s">
        <v>114</v>
      </c>
      <c r="D4" s="3" t="s">
        <v>88</v>
      </c>
      <c r="E4" s="3" t="s">
        <v>215</v>
      </c>
    </row>
    <row r="5" spans="1:14">
      <c r="A5" s="3" t="s">
        <v>211</v>
      </c>
      <c r="B5" s="3" t="s">
        <v>214</v>
      </c>
      <c r="C5" s="3" t="s">
        <v>115</v>
      </c>
      <c r="D5" s="3" t="s">
        <v>89</v>
      </c>
      <c r="E5" s="3" t="s">
        <v>216</v>
      </c>
    </row>
    <row r="6" spans="1:14">
      <c r="A6" s="3" t="s">
        <v>212</v>
      </c>
      <c r="B6" s="3" t="s">
        <v>213</v>
      </c>
      <c r="D6" s="3" t="s">
        <v>90</v>
      </c>
      <c r="E6" s="3" t="s">
        <v>94</v>
      </c>
    </row>
    <row r="7" spans="1:14">
      <c r="D7" s="3" t="s">
        <v>91</v>
      </c>
    </row>
    <row r="8" spans="1:14">
      <c r="D8" s="3" t="s">
        <v>116</v>
      </c>
    </row>
  </sheetData>
  <mergeCells count="1">
    <mergeCell ref="A1:N1"/>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43ee04c-2a79-47f3-aa66-08e7a1836799">
      <Terms xmlns="http://schemas.microsoft.com/office/infopath/2007/PartnerControls"/>
    </lcf76f155ced4ddcb4097134ff3c332f>
    <TaxCatchAll xmlns="82fb1a38-c0a2-4036-957a-ec563826ffd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37764F-EB1E-4A0F-AF77-0076E556C7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D9D99E-D4AB-43D0-AB55-8117E0146042}">
  <ds:schemaRefs>
    <ds:schemaRef ds:uri="http://purl.org/dc/dcmitype/"/>
    <ds:schemaRef ds:uri="http://schemas.microsoft.com/office/2006/documentManagement/types"/>
    <ds:schemaRef ds:uri="http://schemas.openxmlformats.org/package/2006/metadata/core-properties"/>
    <ds:schemaRef ds:uri="82fb1a38-c0a2-4036-957a-ec563826ffd6"/>
    <ds:schemaRef ds:uri="443ee04c-2a79-47f3-aa66-08e7a1836799"/>
    <ds:schemaRef ds:uri="http://www.w3.org/XML/1998/namespace"/>
    <ds:schemaRef ds:uri="http://purl.org/dc/elements/1.1/"/>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A62A3E29-63D2-4697-93E5-CA5992DD8EED}">
  <ds:schemaRefs>
    <ds:schemaRef ds:uri="http://schemas.microsoft.com/sharepoint/v3/contenttype/forms"/>
  </ds:schemaRefs>
</ds:datastoreItem>
</file>

<file path=docMetadata/LabelInfo.xml><?xml version="1.0" encoding="utf-8"?>
<clbl:labelList xmlns:clbl="http://schemas.microsoft.com/office/2020/mipLabelMetadata">
  <clbl:label id="{2ed55210-5af2-49d0-ae6f-c7160c68a39f}" enabled="1" method="Standard" siteId="{40aeb486-ebe2-4e58-9f1c-caedc86481e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Overview</vt:lpstr>
      <vt:lpstr>Data quality</vt:lpstr>
      <vt:lpstr>Non-discrimination</vt:lpstr>
      <vt:lpstr>Transparency</vt:lpstr>
      <vt:lpstr>Human oversight and control</vt:lpstr>
      <vt:lpstr>Cybersecurity</vt:lpstr>
      <vt:lpstr>Reliability</vt:lpstr>
      <vt:lpstr>Validierung</vt:lpstr>
      <vt:lpstr>'Data quality'!Print_Area</vt:lpstr>
      <vt:lpstr>'Human oversight and control'!Print_Area</vt:lpstr>
      <vt:lpstr>Overview!Print_Area</vt:lpstr>
      <vt:lpstr>Reliability!Print_Area</vt:lpstr>
      <vt:lpstr>Cybersecurity!Print_Titles</vt:lpstr>
      <vt:lpstr>'Data quality'!Print_Titles</vt:lpstr>
      <vt:lpstr>'Human oversight and control'!Print_Titles</vt:lpstr>
      <vt:lpstr>'Non-discrimination'!Print_Titles</vt:lpstr>
      <vt:lpstr>Reliability!Print_Titles</vt:lpstr>
      <vt:lpstr>Transparency!Print_Titles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2024-10-15T16:13:08Z</dcterms:created>
  <dcterms:modified xsi:type="dcterms:W3CDTF">2026-01-12T15:51:23Z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b6cd5-d141-4a33-8bf1-0ca04484304f_SiteId">
    <vt:lpwstr>38ae3bcd-9579-4fd4-adda-b42e1495d55a</vt:lpwstr>
  </property>
  <property fmtid="{D5CDD505-2E9C-101B-9397-08002B2CF9AE}" pid="3" name="MediaServiceImageTags">
    <vt:lpwstr/>
  </property>
  <property fmtid="{D5CDD505-2E9C-101B-9397-08002B2CF9AE}" pid="4" name="MSIP_Label_a59b6cd5-d141-4a33-8bf1-0ca04484304f_Method">
    <vt:lpwstr>Standard</vt:lpwstr>
  </property>
  <property fmtid="{D5CDD505-2E9C-101B-9397-08002B2CF9AE}" pid="5" name="ContentTypeId">
    <vt:lpwstr>0x010100B78553A402FE1E49871A770E999BE19E</vt:lpwstr>
  </property>
  <property fmtid="{D5CDD505-2E9C-101B-9397-08002B2CF9AE}" pid="6" name="MSIP_Label_a59b6cd5-d141-4a33-8bf1-0ca04484304f_SetDate">
    <vt:lpwstr>2021-12-15T14:47:24Z</vt:lpwstr>
  </property>
  <property fmtid="{D5CDD505-2E9C-101B-9397-08002B2CF9AE}" pid="7" name="MSIP_Label_a59b6cd5-d141-4a33-8bf1-0ca04484304f_ActionId">
    <vt:lpwstr>781e62e1-a497-4829-ba73-d452fc0e3c03</vt:lpwstr>
  </property>
  <property fmtid="{D5CDD505-2E9C-101B-9397-08002B2CF9AE}" pid="8" name="Document_Confidentiality">
    <vt:lpwstr>Restricted</vt:lpwstr>
  </property>
  <property fmtid="{D5CDD505-2E9C-101B-9397-08002B2CF9AE}" pid="9" name="MSIP_Label_a59b6cd5-d141-4a33-8bf1-0ca04484304f_Name">
    <vt:lpwstr>restricted-default</vt:lpwstr>
  </property>
  <property fmtid="{D5CDD505-2E9C-101B-9397-08002B2CF9AE}" pid="10" name="MSIP_Label_a59b6cd5-d141-4a33-8bf1-0ca04484304f_Enabled">
    <vt:lpwstr>true</vt:lpwstr>
  </property>
  <property fmtid="{D5CDD505-2E9C-101B-9397-08002B2CF9AE}" pid="11" name="MSIP_Label_a59b6cd5-d141-4a33-8bf1-0ca04484304f_ContentBits">
    <vt:lpwstr>0</vt:lpwstr>
  </property>
  <property fmtid="{D5CDD505-2E9C-101B-9397-08002B2CF9AE}" pid="12" name="MSIP_Label_913c8698-91e4-4004-8452-bbfb4b6b90bf_Enabled">
    <vt:lpwstr>true</vt:lpwstr>
  </property>
  <property fmtid="{D5CDD505-2E9C-101B-9397-08002B2CF9AE}" pid="13" name="MSIP_Label_913c8698-91e4-4004-8452-bbfb4b6b90bf_SetDate">
    <vt:lpwstr>2025-11-03T09:38:22Z</vt:lpwstr>
  </property>
  <property fmtid="{D5CDD505-2E9C-101B-9397-08002B2CF9AE}" pid="14" name="MSIP_Label_913c8698-91e4-4004-8452-bbfb4b6b90bf_Method">
    <vt:lpwstr>Standard</vt:lpwstr>
  </property>
  <property fmtid="{D5CDD505-2E9C-101B-9397-08002B2CF9AE}" pid="15" name="MSIP_Label_913c8698-91e4-4004-8452-bbfb4b6b90bf_Name">
    <vt:lpwstr>Restricted Use</vt:lpwstr>
  </property>
  <property fmtid="{D5CDD505-2E9C-101B-9397-08002B2CF9AE}" pid="16" name="MSIP_Label_913c8698-91e4-4004-8452-bbfb4b6b90bf_SiteId">
    <vt:lpwstr>4277a43b-2ad8-46cf-99f4-162b2d6d412c</vt:lpwstr>
  </property>
  <property fmtid="{D5CDD505-2E9C-101B-9397-08002B2CF9AE}" pid="17" name="MSIP_Label_913c8698-91e4-4004-8452-bbfb4b6b90bf_ActionId">
    <vt:lpwstr>49119a69-0536-4f5f-bb28-da456613f589</vt:lpwstr>
  </property>
  <property fmtid="{D5CDD505-2E9C-101B-9397-08002B2CF9AE}" pid="18" name="MSIP_Label_913c8698-91e4-4004-8452-bbfb4b6b90bf_ContentBits">
    <vt:lpwstr>0</vt:lpwstr>
  </property>
  <property fmtid="{D5CDD505-2E9C-101B-9397-08002B2CF9AE}" pid="19" name="MSIP_Label_913c8698-91e4-4004-8452-bbfb4b6b90bf_Tag">
    <vt:lpwstr>10, 3, 0, 1</vt:lpwstr>
  </property>
</Properties>
</file>