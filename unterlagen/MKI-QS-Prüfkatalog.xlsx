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2D6B91C6-DF5A-4A7C-9DBA-B1B622E35BF4}" xr6:coauthVersionLast="47" xr6:coauthVersionMax="47" xr10:uidLastSave="{00000000-0000-0000-0000-000000000000}"/>
  <bookViews>
    <workbookView xWindow="-120" yWindow="-120" windowWidth="29040" windowHeight="15720" activeTab="5" xr2:uid="{9F653C89-8988-4BF1-B07F-AAD0C2EBFC3E}"/>
  </bookViews>
  <sheets>
    <sheet name="Übersicht" sheetId="12" r:id="rId1"/>
    <sheet name="Daten" sheetId="15" r:id="rId2"/>
    <sheet name="Nicht-Diskriminierung" sheetId="16" r:id="rId3"/>
    <sheet name="Transparenz" sheetId="17" r:id="rId4"/>
    <sheet name="Menschliche Aufsicht" sheetId="18" r:id="rId5"/>
    <sheet name="Cybersicherheit" sheetId="14" r:id="rId6"/>
    <sheet name="Verlässlichkeit" sheetId="1" r:id="rId7"/>
    <sheet name="Validierung" sheetId="19" state="hidden" r:id="rId8"/>
  </sheets>
  <definedNames>
    <definedName name="_xlnm._FilterDatabase" localSheetId="6" hidden="1">Verlässlichkeit!$A$3:$J$32</definedName>
    <definedName name="_xlnm.Print_Area" localSheetId="1">Daten!$A$1:$J$41</definedName>
    <definedName name="_xlnm.Print_Area" localSheetId="4">'Menschliche Aufsicht'!$A$1:$J$28</definedName>
    <definedName name="_xlnm.Print_Area" localSheetId="0">Übersicht!$B$4:$N$25</definedName>
    <definedName name="_xlnm.Print_Area" localSheetId="6">Verlässlichkeit!$A$1:$J$32</definedName>
    <definedName name="_xlnm.Print_Titles" localSheetId="5">Cybersicherheit!$1:$1</definedName>
    <definedName name="_xlnm.Print_Titles" localSheetId="1">Daten!$1:$1</definedName>
    <definedName name="_xlnm.Print_Titles" localSheetId="4">'Menschliche Aufsicht'!$1:$1</definedName>
    <definedName name="_xlnm.Print_Titles" localSheetId="2">'Nicht-Diskriminierung'!$1:$1</definedName>
    <definedName name="_xlnm.Print_Titles" localSheetId="3">Transparenz!$1:$1</definedName>
    <definedName name="_xlnm.Print_Titles" localSheetId="6">Verlässlichkeit!$1:$1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2" l="1"/>
  <c r="G6" i="12"/>
  <c r="F6" i="12"/>
  <c r="C6" i="12"/>
  <c r="K6" i="12"/>
  <c r="I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tc={12CAB7F8-F563-4525-A054-7D6328AC7EA5}</author>
  </authors>
  <commentList>
    <comment ref="A26" authorId="0" shapeId="0" xr:uid="{12CAB7F8-F563-4525-A054-7D6328AC7EA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Fehlenden Text ergänzen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tc={D8A9A6BD-8C16-4A99-80B4-4BDBCE6E0800}</author>
  </authors>
  <commentList>
    <comment ref="B13" authorId="0" shapeId="0" xr:uid="{D8A9A6BD-8C16-4A99-80B4-4BDBCE6E08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Referenzen zentrieren</t>
      </text>
    </comment>
  </commentList>
</comments>
</file>

<file path=xl/sharedStrings.xml><?xml version="1.0" encoding="utf-8"?>
<sst xmlns="http://schemas.openxmlformats.org/spreadsheetml/2006/main" count="1525" uniqueCount="481">
  <si>
    <t>Navigation</t>
  </si>
  <si>
    <t>Qualitätsdimensionen</t>
  </si>
  <si>
    <t>Kriterien</t>
  </si>
  <si>
    <t>DA1</t>
  </si>
  <si>
    <t>DA2</t>
  </si>
  <si>
    <t>DA3</t>
  </si>
  <si>
    <t>ND1</t>
  </si>
  <si>
    <t>TR1</t>
  </si>
  <si>
    <t>TR2</t>
  </si>
  <si>
    <t>MA1</t>
  </si>
  <si>
    <t>MA2</t>
  </si>
  <si>
    <t>VE1</t>
  </si>
  <si>
    <t>VE2</t>
  </si>
  <si>
    <t>CY1</t>
  </si>
  <si>
    <t>CY2</t>
  </si>
  <si>
    <t>Indikatoren</t>
  </si>
  <si>
    <t>DA1.1</t>
  </si>
  <si>
    <t>DA2.1</t>
  </si>
  <si>
    <t>DA3.1</t>
  </si>
  <si>
    <t>ND1.1</t>
  </si>
  <si>
    <t>TR1.1</t>
  </si>
  <si>
    <t>TR2.1</t>
  </si>
  <si>
    <t>MA1.1</t>
  </si>
  <si>
    <t>MA2.1</t>
  </si>
  <si>
    <t>VE1.1</t>
  </si>
  <si>
    <t>VE2.1</t>
  </si>
  <si>
    <t>CY1.1</t>
  </si>
  <si>
    <t>CY2.1</t>
  </si>
  <si>
    <t>DA1.2</t>
  </si>
  <si>
    <t>DA2.2</t>
  </si>
  <si>
    <t>DA3.2</t>
  </si>
  <si>
    <t>ND1.2</t>
  </si>
  <si>
    <t>TR1.2</t>
  </si>
  <si>
    <t>TR2.2</t>
  </si>
  <si>
    <t>MA1.2</t>
  </si>
  <si>
    <t>MA2.2</t>
  </si>
  <si>
    <t>VE1.2</t>
  </si>
  <si>
    <t>VE2.2</t>
  </si>
  <si>
    <t>CY1.2</t>
  </si>
  <si>
    <t>CY2.2</t>
  </si>
  <si>
    <t>DA1.3</t>
  </si>
  <si>
    <t>DA2.3</t>
  </si>
  <si>
    <t>DA3.3</t>
  </si>
  <si>
    <t>ND1.3</t>
  </si>
  <si>
    <t>TR1.3</t>
  </si>
  <si>
    <t>TR2.3</t>
  </si>
  <si>
    <t>MA1.3</t>
  </si>
  <si>
    <t>MA2.3</t>
  </si>
  <si>
    <t>VE1.3</t>
  </si>
  <si>
    <t>VE2.3</t>
  </si>
  <si>
    <t>CY1.3</t>
  </si>
  <si>
    <t>CY2.3</t>
  </si>
  <si>
    <t>DA1.4</t>
  </si>
  <si>
    <t>DA2.4</t>
  </si>
  <si>
    <t>DA3.4</t>
  </si>
  <si>
    <t>ND1.4</t>
  </si>
  <si>
    <t>TR1.4</t>
  </si>
  <si>
    <t>TR2.4</t>
  </si>
  <si>
    <t>MA1.4</t>
  </si>
  <si>
    <t>MA2.4</t>
  </si>
  <si>
    <t>VE1.4</t>
  </si>
  <si>
    <t>VE2.4</t>
  </si>
  <si>
    <t>CY1.4</t>
  </si>
  <si>
    <t>CY2.4</t>
  </si>
  <si>
    <t>DA1.5</t>
  </si>
  <si>
    <t>DA2.5</t>
  </si>
  <si>
    <t>DA3.5</t>
  </si>
  <si>
    <t>ND1.5</t>
  </si>
  <si>
    <t>TR1.5</t>
  </si>
  <si>
    <t>MA1.5</t>
  </si>
  <si>
    <t>MA2.5</t>
  </si>
  <si>
    <t>VE1.5</t>
  </si>
  <si>
    <t>VE2.5</t>
  </si>
  <si>
    <t>CY1.5</t>
  </si>
  <si>
    <t>DA2.6</t>
  </si>
  <si>
    <t>DA3.6</t>
  </si>
  <si>
    <t>ND1.6</t>
  </si>
  <si>
    <t>TR1.6</t>
  </si>
  <si>
    <t>MA1.6</t>
  </si>
  <si>
    <t>VE1.6</t>
  </si>
  <si>
    <t>VE2.6</t>
  </si>
  <si>
    <t>CY1.6</t>
  </si>
  <si>
    <t>DA2.7</t>
  </si>
  <si>
    <t>ND1.7</t>
  </si>
  <si>
    <t>TR1.7</t>
  </si>
  <si>
    <t>MA1.7</t>
  </si>
  <si>
    <t>VE1.7</t>
  </si>
  <si>
    <t>VE2.7</t>
  </si>
  <si>
    <t>ND1.8</t>
  </si>
  <si>
    <t>TR1.8</t>
  </si>
  <si>
    <t>ND1.9</t>
  </si>
  <si>
    <t>Datenqualität, -schutz und -Governance</t>
  </si>
  <si>
    <t>Datenqualität</t>
  </si>
  <si>
    <t>A</t>
  </si>
  <si>
    <t>B</t>
  </si>
  <si>
    <t>C</t>
  </si>
  <si>
    <t>D</t>
  </si>
  <si>
    <t>Zusätzliche Informationen</t>
  </si>
  <si>
    <t>Bezugsebene</t>
  </si>
  <si>
    <t>Typ</t>
  </si>
  <si>
    <t>Gewichtung</t>
  </si>
  <si>
    <t>Verknüpfung</t>
  </si>
  <si>
    <t>Die Merkmale der Datensätze müssen 
dokumentiert werden.</t>
  </si>
  <si>
    <r>
      <t xml:space="preserve">Analyse – Definition
</t>
    </r>
    <r>
      <rPr>
        <sz val="8"/>
        <color rgb="FF000000"/>
        <rFont val="Arial"/>
        <family val="2"/>
        <scheme val="minor"/>
      </rPr>
      <t xml:space="preserve">Zusammensetzung der Daten
– Anzahl der Dateninstanzen / Größe der Daten
– Standards für Datenstrukturen/-Formate    
</t>
    </r>
    <r>
      <rPr>
        <b/>
        <sz val="8"/>
        <color rgb="FF000000"/>
        <rFont val="Arial"/>
        <family val="2"/>
        <scheme val="minor"/>
      </rPr>
      <t xml:space="preserve">  </t>
    </r>
    <r>
      <rPr>
        <sz val="8"/>
        <color rgb="FF000000"/>
        <rFont val="Arial"/>
        <family val="2"/>
        <scheme val="minor"/>
      </rPr>
      <t xml:space="preserve">
Prozess der Datenerhebung</t>
    </r>
    <r>
      <rPr>
        <b/>
        <sz val="8"/>
        <color rgb="FF000000"/>
        <rFont val="Arial"/>
        <family val="2"/>
        <scheme val="minor"/>
      </rPr>
      <t xml:space="preserve">
</t>
    </r>
    <r>
      <rPr>
        <sz val="8"/>
        <color rgb="FF000000"/>
        <rFont val="Arial"/>
        <family val="2"/>
        <scheme val="minor"/>
      </rPr>
      <t xml:space="preserve">– Methode der Datenerhebung
– Quelle der Daten
– Verantwortliche für Datenerhebung
</t>
    </r>
    <r>
      <rPr>
        <b/>
        <sz val="8"/>
        <color rgb="FF000000"/>
        <rFont val="Arial"/>
        <family val="2"/>
        <scheme val="minor"/>
      </rPr>
      <t xml:space="preserve">
</t>
    </r>
    <r>
      <rPr>
        <sz val="8"/>
        <color rgb="FF000000"/>
        <rFont val="Arial"/>
        <family val="2"/>
        <scheme val="minor"/>
      </rPr>
      <t>Datenverarbeitungsschritte</t>
    </r>
    <r>
      <rPr>
        <b/>
        <sz val="8"/>
        <color rgb="FF000000"/>
        <rFont val="Arial"/>
        <family val="2"/>
        <scheme val="minor"/>
      </rPr>
      <t xml:space="preserve">
</t>
    </r>
    <r>
      <rPr>
        <sz val="8"/>
        <color rgb="FF000000"/>
        <rFont val="Arial"/>
        <family val="2"/>
        <scheme val="minor"/>
      </rPr>
      <t xml:space="preserve">– Erklärung der Features und ihrer möglichen Qualitätsdimensionen 
und Bereiche der Qualitätsdimensionen
– Vorverarbeitung
– Labeling
– Cleaning
</t>
    </r>
    <r>
      <rPr>
        <b/>
        <sz val="8"/>
        <color rgb="FF000000"/>
        <rFont val="Arial"/>
        <family val="2"/>
        <scheme val="minor"/>
      </rPr>
      <t xml:space="preserve">
</t>
    </r>
    <r>
      <rPr>
        <sz val="8"/>
        <color rgb="FF000000"/>
        <rFont val="Arial"/>
        <family val="2"/>
        <scheme val="minor"/>
      </rPr>
      <t>Pflege der Daten</t>
    </r>
    <r>
      <rPr>
        <b/>
        <sz val="8"/>
        <color rgb="FF000000"/>
        <rFont val="Arial"/>
        <family val="2"/>
        <scheme val="minor"/>
      </rPr>
      <t xml:space="preserve">
</t>
    </r>
    <r>
      <rPr>
        <sz val="8"/>
        <color rgb="FF000000"/>
        <rFont val="Arial"/>
        <family val="2"/>
        <scheme val="minor"/>
      </rPr>
      <t>– Speicherperioden
– Aktualisierung der Daten</t>
    </r>
  </si>
  <si>
    <r>
      <t xml:space="preserve">Analyse – Definition
</t>
    </r>
    <r>
      <rPr>
        <sz val="8"/>
        <color rgb="FF000000"/>
        <rFont val="Arial"/>
        <family val="2"/>
        <scheme val="minor"/>
      </rPr>
      <t>Zusammensetzung der Daten
– Anzahl der Dateninstanzen / Größe der Daten
– Standards für Datenstrukturen/-Formate    
Prozess der Datenerhebung
– Methode der Datenerhebung
– Quelle der Daten</t>
    </r>
    <r>
      <rPr>
        <strike/>
        <sz val="8"/>
        <color rgb="FF000000"/>
        <rFont val="Arial"/>
        <family val="2"/>
        <scheme val="minor"/>
      </rPr>
      <t xml:space="preserve">
</t>
    </r>
    <r>
      <rPr>
        <sz val="8"/>
        <color rgb="FF000000"/>
        <rFont val="Arial"/>
        <family val="2"/>
        <scheme val="minor"/>
      </rPr>
      <t xml:space="preserve">
Datenverarbeitungsschritte
– Erklärung der Features und ihrer möglichen Qualitätsdimensionen
und Bereiche der Qualitätsdimensionen</t>
    </r>
    <r>
      <rPr>
        <strike/>
        <sz val="8"/>
        <color rgb="FF000000"/>
        <rFont val="Arial"/>
        <family val="2"/>
        <scheme val="minor"/>
      </rPr>
      <t xml:space="preserve">
</t>
    </r>
    <r>
      <rPr>
        <sz val="8"/>
        <color rgb="FF000000"/>
        <rFont val="Arial"/>
        <family val="2"/>
        <scheme val="minor"/>
      </rPr>
      <t>– Labeling
– Cleaning
Pflege des Datensatzes
– Speicherperioden
– Aktualisierung der Daten</t>
    </r>
  </si>
  <si>
    <r>
      <t xml:space="preserve">Analyse – Definition
</t>
    </r>
    <r>
      <rPr>
        <sz val="8"/>
        <color rgb="FF000000"/>
        <rFont val="Arial"/>
        <family val="2"/>
        <scheme val="minor"/>
      </rPr>
      <t>Zusammensetzung der Daten
– Anzahl der Dateninstanzen / Größe der Daten
– Standards für Datenstrukturen/-Formate    
Prozess der Datenerhebung</t>
    </r>
    <r>
      <rPr>
        <strike/>
        <sz val="8"/>
        <color rgb="FF000000"/>
        <rFont val="Arial"/>
        <family val="2"/>
        <scheme val="minor"/>
      </rPr>
      <t xml:space="preserve">
</t>
    </r>
    <r>
      <rPr>
        <sz val="8"/>
        <color rgb="FF000000"/>
        <rFont val="Arial"/>
        <family val="2"/>
        <scheme val="minor"/>
      </rPr>
      <t>– Quelle der Daten</t>
    </r>
    <r>
      <rPr>
        <strike/>
        <sz val="8"/>
        <color rgb="FF000000"/>
        <rFont val="Arial"/>
        <family val="2"/>
        <scheme val="minor"/>
      </rPr>
      <t xml:space="preserve">
</t>
    </r>
    <r>
      <rPr>
        <sz val="8"/>
        <color rgb="FF000000"/>
        <rFont val="Arial"/>
        <family val="2"/>
        <scheme val="minor"/>
      </rPr>
      <t xml:space="preserve">
Datenverarbeitungsschritte
– Erklärung der Features und ihrer möglichen Qualitätsdimensionen
und Bereiche der Qualitätsdimension
Pflege des Datensatzes
– Speicherperioden
– Aktualisierung der Daten</t>
    </r>
  </si>
  <si>
    <t>Die Merkmale der Daten wurden
nicht dokumentiert.</t>
  </si>
  <si>
    <t>Komponente</t>
  </si>
  <si>
    <t>Maßnahme</t>
  </si>
  <si>
    <t>Maximalwert</t>
  </si>
  <si>
    <t>Die Risiken, die sich aus fehlender Datenqualität
im Kontext des Zweck des KI Systems ergeben
müssen analysiert und daraus Datenqualitäts-anforderungen abgeleitet werden.</t>
  </si>
  <si>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
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zu berücksichtigen:
– Datenqualitätscharakteristiken passen nicht zum Verwendungszweck
und Anwendungsbereich
– Datenqualitätscharakteristiken sind schlecht erfüllt.</t>
    </r>
  </si>
  <si>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t>
    </r>
    <r>
      <rPr>
        <b/>
        <sz val="8"/>
        <color rgb="FF000000"/>
        <rFont val="Arial"/>
        <family val="2"/>
        <scheme val="minor"/>
      </rPr>
      <t xml:space="preserve">
</t>
    </r>
    <r>
      <rPr>
        <sz val="8"/>
        <color rgb="FF000000"/>
        <rFont val="Arial"/>
        <family val="2"/>
        <scheme val="minor"/>
      </rPr>
      <t xml:space="preserve">
Mindestens die folgenden Risikoquellen sind zu berücksichtigen:
– Datenqualitätscharakteristiken passen nicht zum Verwendungszweck 
und Anwendungsbereich
– Datenqualitätscharakteristiken sind schlecht erfüllt.</t>
    </r>
  </si>
  <si>
    <r>
      <rPr>
        <b/>
        <sz val="8"/>
        <color rgb="FF000000"/>
        <rFont val="Arial"/>
        <family val="2"/>
        <scheme val="minor"/>
      </rPr>
      <t xml:space="preserve">Analyse – Zweck Definition
</t>
    </r>
    <r>
      <rPr>
        <sz val="8"/>
        <color rgb="FF000000"/>
        <rFont val="Arial"/>
        <family val="2"/>
        <scheme val="minor"/>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rial"/>
        <family val="2"/>
        <scheme val="minor"/>
      </rPr>
      <t xml:space="preserve">
Analyse-Risiko
</t>
    </r>
    <r>
      <rPr>
        <sz val="8"/>
        <color rgb="FF000000"/>
        <rFont val="Arial"/>
        <family val="2"/>
        <scheme val="minor"/>
      </rPr>
      <t>Hauptsächlich qualitative Abschätzung ohne Wahrscheinlichkeiten:</t>
    </r>
    <r>
      <rPr>
        <b/>
        <sz val="8"/>
        <color rgb="FF000000"/>
        <rFont val="Arial"/>
        <family val="2"/>
        <scheme val="minor"/>
      </rPr>
      <t xml:space="preserve">
</t>
    </r>
    <r>
      <rPr>
        <sz val="8"/>
        <color rgb="FF000000"/>
        <rFont val="Arial"/>
        <family val="2"/>
        <scheme val="minor"/>
      </rPr>
      <t>– Identifikation der möglichen Gefährdungen
– Zuweisung der Risikoverantwortung
– Qualitative Schätzung der Auswirkung
– Qualitative Abstufung und Priorisierung der Gefährdungen
Mindestens die folgenden Risikoquellen sind zu berücksichtigen:
– Datenqualitätscharakteristiken passen nicht zum Verwendungszweck 
und Anwendungsbereich
– Datenqualitätscharakteristiken sind schlecht erfüllt.</t>
    </r>
  </si>
  <si>
    <t>Die Risiken und Gefährdungen wurden
nicht analysiert und es wurden keine Datenqualitätsanforderungen abgeleitet.</t>
  </si>
  <si>
    <t>ISO/IEC 5259</t>
  </si>
  <si>
    <t>System/Komponente</t>
  </si>
  <si>
    <t>Analyse</t>
  </si>
  <si>
    <t>Die Datensätze müssen dem beabsichtigten Zweck 
des KI-Systems entsprechen und die daraus abgeleiteten Datenqualitätsanforderungen erfüllen.</t>
  </si>
  <si>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Festlegung von Schwellenwerten (als Mindestanforderungen an die 
Funktionalität/Leistung) und Begründung der Schwellenwerte unter Berücksichtigung des Anwendungsbereichs und Verwendungszwecks</t>
    </r>
  </si>
  <si>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Die ausgewählten Metriken und Tests sollten möglichst die folgenden 
Merkmale aufweisen:
– es genügen Basismethoden (hinsichtlich Komplexität, Informationsgehalt, Implementierungsaufwand, z.B. eine simple Metrik) 
– Festlegung von Schwellenwerten (als Mindestanforderungen an die Funktionalität/Leistung) und Begründung der Schwellenwerte unter 
Berücksichtigung des Anwendungsbereichs und Verwendungszwecks</t>
    </r>
  </si>
  <si>
    <t>Es wurde kein Nachweis geführt, dass der Datensatz dem Zweck des KI-Systems und
den Datenqualitätsanforderungen entspricht.</t>
  </si>
  <si>
    <t>Während des Trainings
ISO/IEC 5259</t>
  </si>
  <si>
    <t>Die Daten des KI-Systems müssen in Entwicklung
und Betrieb überwacht werden (können).</t>
  </si>
  <si>
    <t>Normal</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</si>
  <si>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</si>
  <si>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</si>
  <si>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</si>
  <si>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Einschätzung durch eine qualifizierte und autorisierte Person, 
ob das Restrisiko tolerierbar ist
– Begründung der Tolerierbarkeit des Restrisikos</t>
    </r>
  </si>
  <si>
    <t>Eine Bewertung wurde nicht durchgeführt.</t>
  </si>
  <si>
    <t>System</t>
  </si>
  <si>
    <t>Bewertung</t>
  </si>
  <si>
    <t>Schutz personenbezogener Daten</t>
  </si>
  <si>
    <t>Eine Risikoanalyse für den Schutz benutzter personenbezogener Daten im KI-System muss
unter Beachtung des Verwendungszwecks 
durchgeführt werden.</t>
  </si>
  <si>
    <r>
      <rPr>
        <b/>
        <sz val="8"/>
        <color rgb="FF000000"/>
        <rFont val="Arial"/>
        <family val="2"/>
        <scheme val="minor"/>
      </rPr>
      <t xml:space="preserve">Datenschutzfolgeabschätzung nach DSGVO Art.35 umgesetzt 
oder
Analyse – Risiko
</t>
    </r>
    <r>
      <rPr>
        <sz val="8"/>
        <color rgb="FF000000"/>
        <rFont val="Arial"/>
        <family val="2"/>
        <scheme val="minor"/>
      </rPr>
      <t>Volle Risikoanalyse einschließlich Quantifizierung von Eintritts-
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
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
bezogenen Daten basieren.</t>
    </r>
  </si>
  <si>
    <r>
      <rPr>
        <b/>
        <sz val="8"/>
        <color rgb="FF000000"/>
        <rFont val="Arial"/>
        <family val="2"/>
        <scheme val="minor"/>
      </rPr>
      <t xml:space="preserve">Analyse – Risiko
</t>
    </r>
    <r>
      <rPr>
        <sz val="8"/>
        <color rgb="FF000000"/>
        <rFont val="Arial"/>
        <family val="2"/>
        <scheme val="minor"/>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
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personenbezogenen
Daten basieren.
</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</si>
  <si>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t>
    </r>
  </si>
  <si>
    <t>Es wurde keine Risikoanalyse durchgeführt.</t>
  </si>
  <si>
    <t>Relevant sind hier die DSGVO 
und die darin enthaltenen Vorgaben 
für eine Datenschutzfolgeabschätzung (DSFA), Art.35, DSGVO.</t>
  </si>
  <si>
    <t>Minimalwert</t>
  </si>
  <si>
    <t>DA1.1, DA1.2, TR1.1 (Verwendungszweck)</t>
  </si>
  <si>
    <r>
      <rPr>
        <b/>
        <sz val="8"/>
        <color rgb="FF000000"/>
        <rFont val="Arial"/>
        <family val="2"/>
        <scheme val="minor"/>
      </rPr>
      <t xml:space="preserve">Orga. Maßnahmen – Governance / Systemnahe Prozesse
</t>
    </r>
    <r>
      <rPr>
        <sz val="8"/>
        <color rgb="FF000000"/>
        <rFont val="Arial"/>
        <family val="2"/>
        <scheme val="minor"/>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Tech. Maßnahmen – Daten
</t>
    </r>
    <r>
      <rPr>
        <sz val="8"/>
        <color rgb="FF000000"/>
        <rFont val="Arial"/>
        <family val="2"/>
        <scheme val="minor"/>
      </rPr>
      <t xml:space="preserve">–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r>
      <rPr>
        <b/>
        <sz val="8"/>
        <color rgb="FF000000"/>
        <rFont val="Arial"/>
        <family val="2"/>
        <scheme val="minor"/>
      </rPr>
      <t xml:space="preserve">Tech. Maßnahmen – Betrieb
</t>
    </r>
    <r>
      <rPr>
        <sz val="8"/>
        <color rgb="FF000000"/>
        <rFont val="Arial"/>
        <family val="2"/>
        <scheme val="minor"/>
      </rPr>
      <t>–</t>
    </r>
    <r>
      <rPr>
        <b/>
        <sz val="8"/>
        <color rgb="FF000000"/>
        <rFont val="Arial"/>
        <family val="2"/>
        <scheme val="minor"/>
      </rPr>
      <t xml:space="preserve"> </t>
    </r>
    <r>
      <rPr>
        <sz val="8"/>
        <color rgb="FF000000"/>
        <rFont val="Arial"/>
        <family val="2"/>
        <scheme val="minor"/>
      </rPr>
      <t>Regelmäßige Prüfungen und Audits der Datenverarbeitungsprozesse 
und -praktiken, um sicherzustellen, dass die Datenschutzanforderungen 
entsprechend dem Verwendungszweck eingehalten werden.</t>
    </r>
  </si>
  <si>
    <t>Es wurden keine nicht-KI-spezifischen Maßnahmen zum Schutz personenbezogener Daten ergriffen.</t>
  </si>
  <si>
    <t>Relevant sind hier die DSGVO 
und die darin enthaltenen Vorgaben 
für eine Datenschutzfolgeabschätzung (DSFA),  Art.35, DSGVO.</t>
  </si>
  <si>
    <t>DA1.2, DA1.3, TR2, MA1, CY1.5</t>
  </si>
  <si>
    <t>Es müssen Maßnahmen und Sicherheitskontrollen vorhanden sein, um KI-spezifische Angriffe die
während der Vorbereitungs- und Modelltrainings-
phase der KI-Modelle stattfinden zu mitigieren.</t>
  </si>
  <si>
    <t>Aus Plausibilitätsgründen 
sind nicht zwangsläufig alle 
Maßnahmen in CY2.3 relevant zum
Schutz personenbezogener Daten, 
z.B., wenn es um das Schutzziel 
Availability geht.</t>
  </si>
  <si>
    <t>CY2.2, CY2.3</t>
  </si>
  <si>
    <t>Es müssen Maßnahmen und Sicherheitskontrollen vorhanden sein, um KI-spezifische Angriffe die 
während des Betriebs auftreten können zu mitigieren.</t>
  </si>
  <si>
    <t>Aus Plausibilitätsgründen 
sind nicht zwangsläufig alle 
Maßnahmen in CY1.6 relevant zum
Schutz personenbezogener Daten,
z.B., wenn es um das Schutzziel 
Availability geht.</t>
  </si>
  <si>
    <t>Es müssen Maßnahmen und Sicherheitskontrollen vorhanden sein, um fehlerhafte Nutzung und beabsichtigten Missbrauch des KI-Systems
zu verhindern.</t>
  </si>
  <si>
    <t>Dies sollte vor allem die fehlerhafte 
Nutzung 
oder den Missbrauch des Systems abdecken, welche personenbezogene Daten fälschlich verwendet oder 
offenlegt.</t>
  </si>
  <si>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 Dokumentation und Protokollierung ("Logging") aller Datenverarbeitungs-
aktivitäten sowie der Ausübung der Betroffenenrechte (siehe TR1.7)
</t>
    </r>
    <r>
      <rPr>
        <b/>
        <sz val="8"/>
        <rFont val="Arial"/>
        <family val="2"/>
        <scheme val="minor"/>
      </rPr>
      <t xml:space="preserve">Orga. Maßnahme – Governance
</t>
    </r>
    <r>
      <rPr>
        <sz val="8"/>
        <rFont val="Arial"/>
        <family val="2"/>
        <scheme val="minor"/>
      </rPr>
      <t xml:space="preserve">– Gewährleistung, dass Nutzer über Änderungen der Datenverarbeitung
oder -nutzung zeitnah informiert werden.
–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z val="8"/>
        <rFont val="Arial"/>
        <family val="2"/>
        <scheme val="minor"/>
      </rPr>
      <t xml:space="preserve">
– Bereitstellung leicht zugänglicher Funktionen für Betroffene, um ihre Rechte 
auf Auskunft, Berichtigung, Löschung und Datenübertragbarkeit auszuüben einschließlich Möglichkeiten der Datenverarbeitung zu widersprechen oder 
ihre Einwilligung jederzeit zu widerrufen.
– Integration von Mechanismen, die eine automatische Löschung personen-
bezogener Daten nach Ablauf der Speicherfrist oder auf Anfrage ermöglichen.</t>
    </r>
  </si>
  <si>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 Dokumentation und Protokollierung ("Logging") aller Datenverarbeitungsaktivitäten sowie der Ausübung der Betroffenenrechte (siehe  TR1.7)
</t>
    </r>
    <r>
      <rPr>
        <b/>
        <sz val="8"/>
        <rFont val="Arial"/>
        <family val="2"/>
        <scheme val="minor"/>
      </rPr>
      <t>Orga. Maßnahme – Governance</t>
    </r>
    <r>
      <rPr>
        <strike/>
        <sz val="8"/>
        <rFont val="Arial"/>
        <family val="2"/>
        <scheme val="minor"/>
      </rPr>
      <t xml:space="preserve">
</t>
    </r>
    <r>
      <rPr>
        <sz val="8"/>
        <rFont val="Arial"/>
        <family val="2"/>
        <scheme val="minor"/>
      </rPr>
      <t xml:space="preserve">–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trike/>
        <sz val="8"/>
        <rFont val="Arial"/>
        <family val="2"/>
        <scheme val="minor"/>
      </rPr>
      <t xml:space="preserve">
</t>
    </r>
    <r>
      <rPr>
        <sz val="8"/>
        <rFont val="Arial"/>
        <family val="2"/>
        <scheme val="minor"/>
      </rPr>
      <t xml:space="preserve">– Integration von Mechanismen, die eine automatische Löschung personen-
bezogener Daten nach Ablauf der Speicherfrist oder auf Anfrage ermöglichen.
</t>
    </r>
  </si>
  <si>
    <r>
      <rPr>
        <b/>
        <sz val="8"/>
        <rFont val="Arial"/>
        <family val="2"/>
        <scheme val="minor"/>
      </rPr>
      <t>Orga. Maßnahme – Benutzerinstruktion</t>
    </r>
    <r>
      <rPr>
        <sz val="8"/>
        <rFont val="Arial"/>
        <family val="2"/>
        <scheme val="minor"/>
      </rPr>
      <t xml:space="preserve">
– Bereitstellung einer klaren und verständlichen Erklärung der Datenverarbeitung,
 der Betroffenenrechte und der Verantwortlichen </t>
    </r>
    <r>
      <rPr>
        <strike/>
        <sz val="8"/>
        <rFont val="Arial"/>
        <family val="2"/>
        <scheme val="minor"/>
      </rPr>
      <t xml:space="preserve">
</t>
    </r>
    <r>
      <rPr>
        <sz val="8"/>
        <rFont val="Arial"/>
        <family val="2"/>
        <scheme val="minor"/>
      </rPr>
      <t xml:space="preserve">
</t>
    </r>
    <r>
      <rPr>
        <b/>
        <sz val="8"/>
        <rFont val="Arial"/>
        <family val="2"/>
        <scheme val="minor"/>
      </rPr>
      <t>Orga. Maßnahme – Governance</t>
    </r>
    <r>
      <rPr>
        <sz val="8"/>
        <rFont val="Arial"/>
        <family val="2"/>
        <scheme val="minor"/>
      </rPr>
      <t xml:space="preserve">
– Einrichtung klarer Kanäle, um Betroffenen bei der Ausübung ihrer Rechte 
zu unterstützen (siehe MA1.4)
– Implementierung eines Systems zur Einholung und Verwaltung der expliziten Einwilligung zur Datenverarbeitung.
</t>
    </r>
    <r>
      <rPr>
        <b/>
        <sz val="8"/>
        <rFont val="Arial"/>
        <family val="2"/>
        <scheme val="minor"/>
      </rPr>
      <t>Tech. Maßnahme – Betrieb</t>
    </r>
    <r>
      <rPr>
        <sz val="8"/>
        <rFont val="Arial"/>
        <family val="2"/>
        <scheme val="minor"/>
      </rPr>
      <t xml:space="preserve">
– Integration von Mechanismen, die eine automatische Löschung personen-
bezogener Daten nach Ablauf der Speicherfrist oder auf Anfrage ermöglichen.
</t>
    </r>
  </si>
  <si>
    <t>Möglichkeiten für natürliche Personen
ihre Rechte in Bezug auf personenbezogene Daten wahrzunehmen bestehen nicht.</t>
  </si>
  <si>
    <t>TR1.7, MA1.4</t>
  </si>
  <si>
    <t>Es muss bewertet werden, ob die ergriffenen Maßnahmen die festgestellten Risiken auf ein annehmbares Maß vermindert haben und die
Qualität des KI-Systems den gesetzten Ziel-
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</si>
  <si>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</si>
  <si>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</si>
  <si>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Eine Bewertung wurde nicht durchgeführt</t>
  </si>
  <si>
    <t>Schutz proprietärer Daten</t>
  </si>
  <si>
    <r>
      <rPr>
        <strike/>
        <sz val="8"/>
        <rFont val="Arial"/>
        <family val="2"/>
        <scheme val="minor"/>
      </rPr>
      <t xml:space="preserve">
</t>
    </r>
    <r>
      <rPr>
        <sz val="8"/>
        <rFont val="Arial"/>
        <family val="2"/>
        <scheme val="minor"/>
      </rPr>
      <t>Eine Risikoanalyse für den Schutz 
benutzter proprietärer Daten im KI-System 
muss unter Beachtung des Verwendungs-
zwecks durchgeführt werden.</t>
    </r>
  </si>
  <si>
    <r>
      <rPr>
        <b/>
        <sz val="8"/>
        <color rgb="FF000000"/>
        <rFont val="Arial"/>
        <family val="2"/>
        <scheme val="minor"/>
      </rPr>
      <t xml:space="preserve">Analyse – Risiko
</t>
    </r>
    <r>
      <rPr>
        <sz val="8"/>
        <color rgb="FF000000"/>
        <rFont val="Arial"/>
        <family val="2"/>
        <scheme val="minor"/>
      </rPr>
      <t>Volle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t>
    </r>
  </si>
  <si>
    <r>
      <rPr>
        <b/>
        <sz val="8"/>
        <color rgb="FF000000"/>
        <rFont val="Arial"/>
        <family val="2"/>
        <scheme val="minor"/>
      </rPr>
      <t xml:space="preserve">Analyse – Risiko
</t>
    </r>
    <r>
      <rPr>
        <sz val="8"/>
        <color rgb="FF000000"/>
        <rFont val="Arial"/>
        <family val="2"/>
        <scheme val="minor"/>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
</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</si>
  <si>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t>
    </r>
  </si>
  <si>
    <t>Es wurde keine Risiko- oder Gefährdungsanalyse durchgeführt.</t>
  </si>
  <si>
    <t>Relevant sind hier die DSGVO 
und die darin enthaltenen Vorgaben 
für eine Datenschutzfolgeabschätzung (DSFA),  Art.35, DSGVO</t>
  </si>
  <si>
    <t>Es müssen nicht-KI-spezifische Maßnahmen
ergriffen werden um unter Beachtung des 
identifizierten Risikos den Schutz proprietärer 
Daten zu gewährleisten.</t>
  </si>
  <si>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rial"/>
        <family val="2"/>
        <scheme val="minor"/>
      </rPr>
      <t xml:space="preserve">Tech. Maßnahmen – Daten
</t>
    </r>
    <r>
      <rPr>
        <sz val="8"/>
        <color rgb="FF000000"/>
        <rFont val="Arial"/>
        <family val="2"/>
        <scheme val="minor"/>
      </rPr>
      <t xml:space="preserve">– Einführung strenger Zugriffskontrollen und von Berechtigungsmanagement, 
um sicherzustellen, dass nur autorisierte Personen Zugang zu proprietären 
Daten haben.
– Sicherstellung, dass Datenschutzmaßnahmen bereits in der Entwicklung und Implementierung der Systeme integriert sind ("data-protection-by-design")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Sicherstellung der Interoperabilität von Datenformaten und die Möglichkeit, 
Firmendaten einfach zwischen Systemen oder Anbietern zu übertragen
</t>
    </r>
    <r>
      <rPr>
        <b/>
        <sz val="8"/>
        <color rgb="FF000000"/>
        <rFont val="Arial"/>
        <family val="2"/>
        <scheme val="minor"/>
      </rPr>
      <t xml:space="preserve">Tech. Maßnahmen – Betrieb
</t>
    </r>
    <r>
      <rPr>
        <sz val="8"/>
        <color rgb="FF000000"/>
        <rFont val="Arial"/>
        <family val="2"/>
        <scheme val="minor"/>
      </rPr>
      <t>–</t>
    </r>
    <r>
      <rPr>
        <b/>
        <sz val="8"/>
        <color rgb="FF000000"/>
        <rFont val="Arial"/>
        <family val="2"/>
        <scheme val="minor"/>
      </rPr>
      <t xml:space="preserve"> </t>
    </r>
    <r>
      <rPr>
        <sz val="8"/>
        <color rgb="FF000000"/>
        <rFont val="Arial"/>
        <family val="2"/>
        <scheme val="minor"/>
      </rPr>
      <t xml:space="preserve">Regelmäßige Prüfungen und Audits der Datenverarbeitungsprozesse 
und -praktiken, um sicherzustellen, dass die Datenschutzanforderungen 
entsprechend dem Verwendungszweck eingehalten werden.
</t>
    </r>
  </si>
  <si>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rial"/>
        <family val="2"/>
        <scheme val="minor"/>
      </rPr>
      <t xml:space="preserve">
Tech. Maßnahmen – Daten
</t>
    </r>
    <r>
      <rPr>
        <sz val="8"/>
        <color rgb="FF000000"/>
        <rFont val="Arial"/>
        <family val="2"/>
        <scheme val="minor"/>
      </rPr>
      <t xml:space="preserve">– Einführung strenger Zugriffskontrollen und von Berechtigungsmanagement, 
um sicherzustellen, dass nur autorisierte Personen Zugang zu proprietären 
Daten haben.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t>
    </r>
    <r>
      <rPr>
        <b/>
        <sz val="8"/>
        <color rgb="FF000000"/>
        <rFont val="Arial"/>
        <family val="2"/>
        <scheme val="minor"/>
      </rPr>
      <t xml:space="preserve">
Tech. Maßnahmen – Betrieb
</t>
    </r>
    <r>
      <rPr>
        <sz val="8"/>
        <color rgb="FF000000"/>
        <rFont val="Arial"/>
        <family val="2"/>
        <scheme val="minor"/>
      </rPr>
      <t>– Regelmäßige Prüfungen und Audits der Datenverarbeitungsprozesse 
und -praktiken, um sicherzustellen, dass die Datenschutzanforderungen
entsprechend dem Verwendungszweck eingehalten werden.</t>
    </r>
  </si>
  <si>
    <r>
      <rPr>
        <b/>
        <sz val="8"/>
        <color rgb="FF000000"/>
        <rFont val="Arial"/>
        <family val="2"/>
        <scheme val="minor"/>
      </rPr>
      <t xml:space="preserve">Orga. Maßnahmen – Governance / Systemnahe Prozesse
</t>
    </r>
    <r>
      <rPr>
        <sz val="8"/>
        <color rgb="FF000000"/>
        <rFont val="Arial"/>
        <family val="2"/>
        <scheme val="minor"/>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t>
    </r>
    <r>
      <rPr>
        <b/>
        <sz val="8"/>
        <color rgb="FF000000"/>
        <rFont val="Arial"/>
        <family val="2"/>
        <scheme val="minor"/>
      </rPr>
      <t xml:space="preserve">
Tech. Maßnahmen – Daten
</t>
    </r>
    <r>
      <rPr>
        <sz val="8"/>
        <color rgb="FF000000"/>
        <rFont val="Arial"/>
        <family val="2"/>
        <scheme val="minor"/>
      </rPr>
      <t xml:space="preserve">– Einführung von Zugriffskontrollen und von Berechtigungsmanagement, 
um sicherzustellen, dass nur autorisierte Personen Zugang zu proprietären 
Daten haben.
– Implementierung von Verschlüsselungstechniken, um die Vertraulichkeit
und Integrität der Firmendaten zu schützen, insbesondere während der 
Übertragung und Speicherung.
– Einführung regelmäßiger Datensicherungen und Notfallpläne zur 
Wiederherstellung von Daten bei Verlust oder Beschädigung.
</t>
    </r>
  </si>
  <si>
    <t>Es wurden keine nicht-KI-spezifischen Maßnahmen zum Schutz proprietärer Daten ergriffen.</t>
  </si>
  <si>
    <t>DA1.2, DA1.3, MA1, CY1.5</t>
  </si>
  <si>
    <t>Aus Plausibilitätsgründen 
sind nicht zwangsläufig alle
Maßnahmen in CY2.3 relevant
zum Schutz proprietärer Daten,
z.B., wenn es um das Schutzziel 
Availability geht.</t>
  </si>
  <si>
    <t>Es müssen Maßnahmen und Sicherheitskontrollen vorhanden sein, um KI-spezifische Angriffe die 
während des Betriebs auftreten können 
zu mitigieren.</t>
  </si>
  <si>
    <t>Es müssen Maßnahmen und Sicherheitskontrollen vorhanden sein, um fehlerhafte Nutzung und beabsichtigten Missbrauch des KI-Systems 
zu verhindern.</t>
  </si>
  <si>
    <t>Dies sollte vor allem die fehlerhafte
Nutzung oder den Missbrauch des 
Systems abdecken, welche proprietäre Daten fälschlich verwendet oder 
offenlegt.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</si>
  <si>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</si>
  <si>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Nicht-Diskriminierung</t>
  </si>
  <si>
    <t>Vermeidung von ungerechtfertigter Diskriminierung und Verzerrung</t>
  </si>
  <si>
    <t>Verlinkung</t>
  </si>
  <si>
    <t>Das Risiko von Diskriminierung im 
Zusammenhang mit dem beabsichtigten 
Zweck des KI-Systems muss analysiert werden.</t>
  </si>
  <si>
    <r>
      <rPr>
        <b/>
        <sz val="8"/>
        <color theme="1"/>
        <rFont val="Arial"/>
        <family val="2"/>
        <scheme val="minor"/>
      </rPr>
      <t xml:space="preserve">Analyse-Risiko
</t>
    </r>
    <r>
      <rPr>
        <sz val="8"/>
        <color theme="1"/>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</si>
  <si>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theme="1"/>
        <rFont val="Arial"/>
        <family val="2"/>
        <scheme val="minor"/>
      </rPr>
      <t xml:space="preserve">Analyse-Risiko
</t>
    </r>
    <r>
      <rPr>
        <sz val="8"/>
        <color theme="1"/>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</si>
  <si>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theme="1"/>
        <rFont val="Arial"/>
        <family val="2"/>
        <scheme val="minor"/>
      </rPr>
      <t xml:space="preserve">Analyse-Risiko
</t>
    </r>
    <r>
      <rPr>
        <sz val="8"/>
        <color theme="1"/>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</si>
  <si>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t>Das notwendige Maß an Vermeidung
von ungerechtfertigter Verzerrung bzw. 
Diskriminierung muss im Kontext des
beabsichtigten Zwecks definiert werden.</t>
  </si>
  <si>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Identifikation zusätzlicher Gruppen, die unvorhergesehen betroffen 
werden können, z.B. da deren Merkmale nicht als Features sondern 
nur implizit in den Daten enthalten sind)
– Definition der beabsichtigten Fairness
– Kollaboration mit Repräsentanten von identifizierten Gruppen mit
geschützten Eigenschaften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
– Die ausgewählten Metriken und Tests sollten wenn möglich durch
einen hohen Grad der Automatisierung eine kontinuierliche Evaluation 
der KI-Modelle erlauben </t>
    </r>
  </si>
  <si>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t>
    </r>
  </si>
  <si>
    <r>
      <rPr>
        <b/>
        <sz val="8"/>
        <color theme="1"/>
        <rFont val="Arial"/>
        <family val="2"/>
        <scheme val="minor"/>
      </rPr>
      <t>Analyse – Definition / Metriken &amp; Schwellenwerte</t>
    </r>
    <r>
      <rPr>
        <sz val="8"/>
        <color theme="1"/>
        <rFont val="Arial"/>
        <family val="2"/>
        <scheme val="minor"/>
      </rPr>
      <t xml:space="preserve">
Basierend auf dem festgelegten Zweck des KI-Systems (TR1.1) 
muss definiert werden welches Maß an Vermeidung von Verzerrung 
bzw. Schutz vor Nicht-Diskriminierung notwendig ist. 
Hierzu gehört:
– Identifikation sensitiver bzw. schützenswerter Merkmale in den Daten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Es genügen Basismethoden (hinsichtlich Komplexität, Informationsgehalts, Implementierungsaufwands, z.B. eine simple Metrik) </t>
    </r>
  </si>
  <si>
    <t>Eine Definition und Zielsetzung 
zur Vermeidung ungerechtfertigter 
Verzerrung und Diskriminierung ist
nicht erfolgt.</t>
  </si>
  <si>
    <t>Eine Analyse des KI-Systems hinsichtlich 
bestehender Verzerrungen und möglicher
Diskriminierung muss durchgeführt werden.</t>
  </si>
  <si>
    <r>
      <rPr>
        <b/>
        <sz val="8"/>
        <color theme="1"/>
        <rFont val="Arial"/>
        <family val="2"/>
        <scheme val="minor"/>
      </rPr>
      <t xml:space="preserve">Tech. Maßnahmen – Modell, Daten &amp; Tests
</t>
    </r>
    <r>
      <rPr>
        <sz val="8"/>
        <color theme="1"/>
        <rFont val="Arial"/>
        <family val="2"/>
        <scheme val="minor"/>
      </rPr>
      <t>Das KI-System und die darin enthaltenen Modelle und Daten wurden in Bezug
auf die in ND1.2 festgelegte Zielsetzung hin untersucht. 
Das beinhaltet mindestens:
– Begründung der Modellauswahl (einschließlich der Aufgabenstellung 
und Optimierungsstrategie, sowie ggf. Vor- oder Nachverarbeitungs-
maßnahmen im KI-System zur Abschwächung von Verzerrungen)
– Beschreibung des Umfangs und Durchführung von Test (siehe ND1.2)
– Abgleich mit alternativen Tests/Metriken 
– Bewertung der Einhaltung vorgegebener Schwellen- bzw. Zielwerte
– Dokumentation der Testergebnisse und daraus abgeleiteter Schluss-
folgerungen
– Beschreibung der Grenzen der Aussagekraft der durchgeführten 
Tests und ihrer Ergebnisse
– Kollaboration mit relevanten Gruppen mit geschützten Eigenschaften</t>
    </r>
  </si>
  <si>
    <r>
      <rPr>
        <b/>
        <sz val="8"/>
        <color theme="1"/>
        <rFont val="Arial"/>
        <family val="2"/>
        <scheme val="minor"/>
      </rPr>
      <t>Tech. Maßnahmen – Modell, Daten &amp; Tests</t>
    </r>
    <r>
      <rPr>
        <sz val="8"/>
        <color theme="1"/>
        <rFont val="Arial"/>
        <family val="2"/>
        <scheme val="minor"/>
      </rPr>
      <t xml:space="preserve">
Das KI-System und die darin enthaltenen Modelle und Daten wurden 
in Bezug auf die in ND1.2 festgelegte Zielsetzung hin untersucht. 
Das beinhaltet mindestens:
– Beschreibung des Umfangs und Durchführung von Test (siehe ND1.2)
– Abgleich mit alternativen Tests/Metriken 
– Bewertung der Einhaltung vorgegebener Schwellen- bzw. Zielwerte
– Dokumentation der Testergebnisse und daraus abgeleiteter 
Schlussfolgerungen</t>
    </r>
  </si>
  <si>
    <r>
      <rPr>
        <b/>
        <sz val="8"/>
        <color theme="1"/>
        <rFont val="Arial"/>
        <family val="2"/>
        <scheme val="minor"/>
      </rPr>
      <t>Tech. Maßnahmen – Modell, Daten &amp; Tests</t>
    </r>
    <r>
      <rPr>
        <sz val="8"/>
        <color theme="1"/>
        <rFont val="Arial"/>
        <family val="2"/>
        <scheme val="minor"/>
      </rPr>
      <t xml:space="preserve">
Das KI-System und die darin enthaltenen Modelle und Daten wurden 
in Bezug auf die in ND1.2 festgelegte Zielsetzung hin untersucht. 
Das beinhaltet mindestens:
– Beschreibung des Umfangs und Durchführung von Test (siehe ND1.2)
– Bewertung der Einhaltung vorgegebener Schwellen- bzw. Zielwerte
– Dokumentation der Testergebnisse und daraus abgeleiteter 
Schlussfolgerungen</t>
    </r>
  </si>
  <si>
    <t>Es wurde keine Analyse hinsichtlich 
bestehender Verzerrungen und möglicher Diskriminierung durchgeführt.</t>
  </si>
  <si>
    <t>Bei der Entwicklung eines KI-Systems müssen 
die Grundsätze des universellen Designs angewandt werden, um die Zugänglichkeit für Menschen mit  Einschränkungen zu gewährleisten.</t>
  </si>
  <si>
    <r>
      <rPr>
        <b/>
        <sz val="8"/>
        <color theme="1"/>
        <rFont val="Arial"/>
        <family val="2"/>
        <scheme val="minor"/>
      </rPr>
      <t xml:space="preserve">Tech. Maßnahme – Betrieb
</t>
    </r>
    <r>
      <rPr>
        <sz val="8"/>
        <color theme="1"/>
        <rFont val="Arial"/>
        <family val="2"/>
        <scheme val="minor"/>
      </rPr>
      <t>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
– Die Gestaltung der Benutzeroberfläche bzw. bereitgestellter Informationen 
basiert auf Kollaboration mit Nutzergruppen, die Personen mit Einschränkungen umfassen</t>
    </r>
  </si>
  <si>
    <r>
      <rPr>
        <b/>
        <sz val="8"/>
        <color theme="1"/>
        <rFont val="Arial"/>
        <family val="2"/>
        <scheme val="minor"/>
      </rPr>
      <t>Tech. Maßnahme – Betrieb</t>
    </r>
    <r>
      <rPr>
        <sz val="8"/>
        <color theme="1"/>
        <rFont val="Arial"/>
        <family val="2"/>
        <scheme val="minor"/>
      </rPr>
      <t xml:space="preserve">
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t>
    </r>
  </si>
  <si>
    <r>
      <rPr>
        <b/>
        <sz val="8"/>
        <color theme="1"/>
        <rFont val="Arial"/>
        <family val="2"/>
        <scheme val="minor"/>
      </rPr>
      <t>Tech. Maßnahme – Betrieb</t>
    </r>
    <r>
      <rPr>
        <sz val="8"/>
        <color theme="1"/>
        <rFont val="Arial"/>
        <family val="2"/>
        <scheme val="minor"/>
      </rPr>
      <t xml:space="preserve">
Dort wo das KI-System mit natürlichen Personen in Kontakt kommt, wird die Zugänglichkeit für mögliche Personen mit Einschränkungen untersucht und 
durch Maßnahmen unterstützt. Hierzu gehört die Berücksichtigung der folgenden Maßnahmen:
– Informationen über Ergebnisse und Mechanismen, auch bspw. über eine Benutzeroberfläche,  sind adressatengerecht aufbereitet und berücksichtigen 
mögliche Einschränkungen der Empfänger
</t>
    </r>
  </si>
  <si>
    <t>Grundsätze des universellen Designs 
wurden in der Entwicklung nicht betrachtet.</t>
  </si>
  <si>
    <t>Das Personal, das an der Entwicklung 
des KI-Systems und an der Umsetzung 
der Maßnahmen zur Verringerung des 
Risikos von ungerechtfertigter Verzerrung 
und Diskriminierung beteiligt ist, muss 
informiert und geschult werden.</t>
  </si>
  <si>
    <r>
      <rPr>
        <b/>
        <sz val="8"/>
        <color theme="1"/>
        <rFont val="Arial"/>
        <family val="2"/>
        <scheme val="minor"/>
      </rPr>
      <t>Orga. Maßnahmen – Schulung</t>
    </r>
    <r>
      <rPr>
        <sz val="8"/>
        <color theme="1"/>
        <rFont val="Arial"/>
        <family val="2"/>
        <scheme val="minor"/>
      </rPr>
      <t xml:space="preserve">
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
lichen und regulatorischen Anforderungen
– Anforderungen an die Durchführung von Trainings, Validierungen und Tests 
der KI-Modells im Kontext von Verzerrungen, Fairness und Diskriminierung
Die verwendeten Inhalte und die Teilnahme am Programm werden dokumentiert.</t>
    </r>
  </si>
  <si>
    <r>
      <t xml:space="preserve">Orga. Maßnahmen – Schulung
</t>
    </r>
    <r>
      <rPr>
        <sz val="8"/>
        <color theme="1"/>
        <rFont val="Arial"/>
        <family val="2"/>
        <scheme val="minor"/>
      </rPr>
      <t>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Anforderungen an die Durchführung von Trainings, Validierungen und Tests 
der KI-Modells im Kontext von Verzerrungen, Fairness und Diskriminierung
Die verwendeten Inhalte und die Teilnahme am Programm werden dokumentiert.</t>
    </r>
  </si>
  <si>
    <t>Es ist kein Anleiten des mit der 
KI-Entwicklung betrauten Personals 
im Kontext von Verzerrungen und 
Diskriminierung erfolgt.</t>
  </si>
  <si>
    <t>Technische Maßnahmen zur Vermeidung 
von ungerechtfertigten Verzerrungen und Diskriminierungen müssen während der 
Entwicklung des KI-Systems ergriffen 
werden.</t>
  </si>
  <si>
    <r>
      <rPr>
        <b/>
        <sz val="8"/>
        <color theme="1"/>
        <rFont val="Arial"/>
        <family val="2"/>
        <scheme val="minor"/>
      </rPr>
      <t xml:space="preserve">Tech. Maßnahmen - Daten
</t>
    </r>
    <r>
      <rPr>
        <sz val="8"/>
        <color theme="1"/>
        <rFont val="Arial"/>
        <family val="2"/>
        <scheme val="minor"/>
      </rPr>
      <t xml:space="preserve">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t>
    </r>
    <r>
      <rPr>
        <b/>
        <sz val="8"/>
        <color theme="1"/>
        <rFont val="Arial"/>
        <family val="2"/>
        <scheme val="minor"/>
      </rPr>
      <t xml:space="preserve">– </t>
    </r>
    <r>
      <rPr>
        <sz val="8"/>
        <color theme="1"/>
        <rFont val="Arial"/>
        <family val="2"/>
        <scheme val="minor"/>
      </rPr>
      <t xml:space="preserve">Durchführung von Aufbereitungsschritten zur Verminderung von 
ungerechtfertigten Verzerrungen in den Daten
– Nutzen- und Angemessenheitsargumentation der Maßnahmen in den 
Trainings- und Testdaten in Bezug auf das Risiko von ungerechtfertigten 
Verzerrungen und Diskriminierungen)
</t>
    </r>
  </si>
  <si>
    <r>
      <rPr>
        <b/>
        <sz val="8"/>
        <color theme="1"/>
        <rFont val="Arial"/>
        <family val="2"/>
        <scheme val="minor"/>
      </rPr>
      <t>Tech. Maßnahmen – Daten</t>
    </r>
    <r>
      <rPr>
        <sz val="8"/>
        <color theme="1"/>
        <rFont val="Arial"/>
        <family val="2"/>
        <scheme val="minor"/>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</si>
  <si>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r>
      <rPr>
        <b/>
        <sz val="8"/>
        <color theme="1"/>
        <rFont val="Arial"/>
        <family val="2"/>
        <scheme val="minor"/>
      </rPr>
      <t>Tech. Maßnahmen – Daten</t>
    </r>
    <r>
      <rPr>
        <sz val="8"/>
        <color theme="1"/>
        <rFont val="Arial"/>
        <family val="2"/>
        <scheme val="minor"/>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</si>
  <si>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t>Es wurden keine Maßnahmen 
zur Vermeidung von ungerechtfertigten Verzerrungen in der Entwicklung ergriffen.</t>
  </si>
  <si>
    <t>Ein Mechanismus für Nutzerfeedback 
muss verfügbar sein, um Probleme 
im Zusammenhang mit möglicher
Diskriminierung zu melden</t>
  </si>
  <si>
    <t>Das KI-System muss in Entwicklung 
und Betrieb zum Zweck der Vermeidung
unerwünschter  Verzerrung und Diskriminierung überwacht werden (können)</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</si>
  <si>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</si>
  <si>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</si>
  <si>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</si>
  <si>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Transparenz</t>
  </si>
  <si>
    <t>Rückverfolgbarkeit &amp; Dokumentation</t>
  </si>
  <si>
    <t>Verwendungszweck und Anwendungsbereich 
des KI-Systems sind klar definiert und beschrieben.</t>
  </si>
  <si>
    <r>
      <rPr>
        <b/>
        <sz val="8"/>
        <color rgb="FF000000"/>
        <rFont val="Arial"/>
        <family val="2"/>
        <scheme val="minor"/>
      </rPr>
      <t>Analyse – Definition</t>
    </r>
    <r>
      <rPr>
        <sz val="8"/>
        <color rgb="FF000000"/>
        <rFont val="Arial"/>
        <family val="2"/>
        <scheme val="minor"/>
      </rPr>
      <t xml:space="preserve">
Der Verwendungszweck ist definiert im Sinne von Funktionalitäten 
des KI-Systems.
Der Anwendungsbereich ist mit Bezug auf den Verwendungszweck
definiert und umfasst:
– die zu erwarteten Eingabedaten und angestrebte Systemausgaben 
(inklusive Format und Inhalt)
– Grobe Beschreibung von Einsatzkontexten/ Umgebungen, für die das 
KI-System geeignet ist</t>
    </r>
  </si>
  <si>
    <t>Der Verwendungszweck und 
Anwendungsbereich sind nicht 
klar definiert.</t>
  </si>
  <si>
    <t>Siehe auch Glossar</t>
  </si>
  <si>
    <t>global relevant; 
insbesondere TR1.2, 
TR2.1, VE1.1, VE2.1, 
CY1.1, DA2.1, DA3.1, 
ND1.1, MA1.2, MA2.2</t>
  </si>
  <si>
    <t>Die Risiken im Kontext einer mangelnden Rückverfolgbarkeit und Dokumentation des
KI-System müssen analysiert werden.</t>
  </si>
  <si>
    <r>
      <rPr>
        <b/>
        <sz val="8"/>
        <color theme="1"/>
        <rFont val="Arial"/>
        <family val="2"/>
        <scheme val="minor"/>
      </rPr>
      <t xml:space="preserve">Analyse-Risiko
</t>
    </r>
    <r>
      <rPr>
        <sz val="8"/>
        <color theme="1"/>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
– Unklare Rechenschaft
– Verschleiern von Verzerrungen oder Sicherheitsschwachstellen
– Nicht-Einhaltung regulatorischer Vorgaben
– Probleme mit der Interoperabilität</t>
    </r>
  </si>
  <si>
    <r>
      <rPr>
        <b/>
        <sz val="8"/>
        <color theme="1"/>
        <rFont val="Arial"/>
        <family val="2"/>
        <scheme val="minor"/>
      </rPr>
      <t>Analyse-Risiko</t>
    </r>
    <r>
      <rPr>
        <sz val="8"/>
        <color theme="1"/>
        <rFont val="Arial"/>
        <family val="2"/>
        <scheme val="minor"/>
      </rPr>
      <t xml:space="preserve">
Limitierte Risikoanalyse mit Fokus auf den Schutzbedarf 
ohne Quantifizierung von Wahrscheinlichkeiten:
– Identifikation der möglichen Risiken
– Zuweisung der Risikoverantwortung
–Schätzung der Auswirkung
– Strukturierte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</si>
  <si>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r>
      <rPr>
        <b/>
        <sz val="8"/>
        <color theme="1"/>
        <rFont val="Arial"/>
        <family val="2"/>
        <scheme val="minor"/>
      </rPr>
      <t>Analyse-Risiko</t>
    </r>
    <r>
      <rPr>
        <sz val="8"/>
        <color theme="1"/>
        <rFont val="Arial"/>
        <family val="2"/>
        <scheme val="minor"/>
      </rPr>
      <t xml:space="preserve">
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</si>
  <si>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t>Die Architektur des KI-Systems 
muss dokumentiert werden.</t>
  </si>
  <si>
    <t>Die Architektur des Systems ist nicht dokumentiert.</t>
  </si>
  <si>
    <t>VE1.1, VE2.1, VE1.2, VE1.3, CY1.5, CY1.6</t>
  </si>
  <si>
    <t>Die Merkmale des/der KI-Modells/Modelle 
müssen dokumentiert werden.</t>
  </si>
  <si>
    <r>
      <rPr>
        <b/>
        <sz val="8"/>
        <color rgb="FF000000"/>
        <rFont val="Arial"/>
        <family val="2"/>
        <scheme val="minor"/>
      </rPr>
      <t xml:space="preserve">Tech. Maßnahmen – Modell
</t>
    </r>
    <r>
      <rPr>
        <sz val="8"/>
        <color rgb="FF000000"/>
        <rFont val="Arial"/>
        <family val="2"/>
        <scheme val="minor"/>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
– Durchgeführte Tests, ermittelte Testergebnisse und abgeleitete 
Schlussfolgerungen
Die Wahl der Architektur und des Designs des KI-Systems und/oder -Modells
muss begründet werden inklusive der Vorteile des Modells und Abwägungen 
in Bezug auf mögliche Zielkonflikte sind beschrieben.</t>
    </r>
  </si>
  <si>
    <r>
      <t xml:space="preserve">Tech. Maßnahmen – Modell
</t>
    </r>
    <r>
      <rPr>
        <sz val="8"/>
        <color theme="1"/>
        <rFont val="Arial"/>
        <family val="2"/>
        <scheme val="minor"/>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t>
    </r>
  </si>
  <si>
    <r>
      <rPr>
        <b/>
        <sz val="8"/>
        <color theme="1"/>
        <rFont val="Arial"/>
        <family val="2"/>
        <scheme val="minor"/>
      </rPr>
      <t>Tech. Maßnahmen – Modell</t>
    </r>
    <r>
      <rPr>
        <sz val="8"/>
        <color theme="1"/>
        <rFont val="Arial"/>
        <family val="2"/>
        <scheme val="minor"/>
      </rPr>
      <t xml:space="preserve">
Eigenschaften werden dokumentiert, einschließlich:
– Modellbezeichnung
– Aktuellste Modellversion mit Datum
– Grobe Architekturbeschreibung des KI-Modells
– Erwartete Eingabedaten
– Erwartete Ausgabedaten
– Verwendete Trainings- &amp; Testdaten
– Erwartete Leistungsfähigkeit</t>
    </r>
  </si>
  <si>
    <t>Es ist keine Dokumentation des/der 
KI-Modells/Modelle vorhanden.</t>
  </si>
  <si>
    <t>Die Architekturbeschreibung 
des KI-Modells kann z.B. Typ des 
Modells, Art und Anzahl der Ebenen/ Schichten bei neuronalen Netzen 
sowie auch  Funktionen zur Aktivierung 
oder Belohnung umfassen.</t>
  </si>
  <si>
    <t>VE1.2, VE1.3, CY1.5, CY1.6</t>
  </si>
  <si>
    <t>Die Merkmale der verwendeten Datensätze
müssen dokumentiert werden.</t>
  </si>
  <si>
    <t>Der Entwurfs- und Entwicklungsprozess 
des KI-Systems muss beschrieben werden.</t>
  </si>
  <si>
    <t>Der Entwurfs- und Entwicklungsprozess 
wurde nicht dokumentiert.</t>
  </si>
  <si>
    <t>Für die Dokumentation von Daten-
sätzen und Modell können
 z.B. geläufige Formate, wie Data 
Sheets bzw. Model Cards verwendet werden.</t>
  </si>
  <si>
    <t>VE1.4, VE1.5</t>
  </si>
  <si>
    <t>Das KI-System muss Funktionen 
zur Überwachung, Erfassung und 
Aufzeichnung seines Verhaltens enthalten.</t>
  </si>
  <si>
    <t>Eine Aufzeichnung wichtiger Daten 
zum System ist nicht vorbereitet.</t>
  </si>
  <si>
    <t>VE1.6, DA2.6</t>
  </si>
  <si>
    <t>Es muss bewertet werden, ob die ergriffenen Maßnahmen die festgestellten Risiken auf ein annehmbares Maß vermindert haben und die 
Qualität des KI-Systems den gesetzten 
Zielvorgaben entspricht</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</si>
  <si>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</si>
  <si>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</si>
  <si>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Erklärbarkeit &amp; Interpretierbarkeit</t>
  </si>
  <si>
    <r>
      <rPr>
        <b/>
        <sz val="8"/>
        <color theme="1"/>
        <rFont val="Arial"/>
        <family val="2"/>
        <scheme val="minor"/>
      </rPr>
      <t>Analyse-Risiko</t>
    </r>
    <r>
      <rPr>
        <sz val="8"/>
        <color theme="1"/>
        <rFont val="Arial"/>
        <family val="2"/>
        <scheme val="minor"/>
      </rPr>
      <t xml:space="preserve">
Detaillierte Risikoanalyse zur Erklärbarkeit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</si>
  <si>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rial"/>
        <family val="2"/>
        <scheme val="minor"/>
      </rPr>
      <t>Analyse-Risiko</t>
    </r>
    <r>
      <rPr>
        <sz val="8"/>
        <color theme="1"/>
        <rFont val="Arial"/>
        <family val="2"/>
        <scheme val="minor"/>
      </rPr>
      <t xml:space="preserve">
Limitierte Risikoanalyse zur Erklärbarkeit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</si>
  <si>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rial"/>
        <family val="2"/>
        <scheme val="minor"/>
      </rPr>
      <t>Analyse-Risiko</t>
    </r>
    <r>
      <rPr>
        <sz val="8"/>
        <color theme="1"/>
        <rFont val="Arial"/>
        <family val="2"/>
        <scheme val="minor"/>
      </rPr>
      <t xml:space="preserve">
Hauptsächlich qualitative Abschätzung ohne Wahrscheinlichkeiten zur Erklärbarkeit: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</si>
  <si>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t>Die Interpretierbarkeit und Erklärbarkeit 
des KI-Systems muss in Hinblick auf die 
Nutzergruppen, den Zweck und die Risiken 
analysiert werden.</t>
  </si>
  <si>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Die ausgewählten Tests sollten mindestens die folgenden Merkmale 
aufweisen:
</t>
    </r>
    <r>
      <rPr>
        <sz val="8"/>
        <color rgb="FF000000"/>
        <rFont val="Arial"/>
        <family val="2"/>
        <scheme val="minor"/>
      </rPr>
      <t>– Wenn durch die Auswahl begründet, sollten die Metriken und Tests sowohl 
wichtige Basismethoden als auch fortgeschrittene Methoden (hinsichtlich Komplexität, Informationsgehalt, Implementierungsaufwand, z.B. umfangreiches Prüfwerkzeug) umfassen
– ggf. Festlegung von Schwellenwerten (als Mindestanforderungen an die Erklärbarkeit) und Begründung der Schwellenwerte unter Berücksichtigung des Anwendungsbereichs und Verwendungszwecks
– falls anwendbar: Abstufung der Metriken und Schwellenwerte nach unterschiedlichen Einsatzszenarien mit Bezug zur Definition des Anwendungsbereichs.</t>
    </r>
  </si>
  <si>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t>
    </r>
    <r>
      <rPr>
        <sz val="8"/>
        <color rgb="FF000000"/>
        <rFont val="Arial"/>
        <family val="2"/>
        <scheme val="minor"/>
      </rPr>
      <t>Die ausgewählten Tests sollten mindestens die folgenden Merkmale aufweisen:</t>
    </r>
    <r>
      <rPr>
        <b/>
        <sz val="8"/>
        <color rgb="FF000000"/>
        <rFont val="Arial"/>
        <family val="2"/>
        <scheme val="minor"/>
      </rPr>
      <t xml:space="preserve">
</t>
    </r>
    <r>
      <rPr>
        <sz val="8"/>
        <color rgb="FF000000"/>
        <rFont val="Arial"/>
        <family val="2"/>
        <scheme val="minor"/>
      </rPr>
      <t>– Wenn durch die Auswahl begründet, sollten die Metriken und Tests sowohl 
wichtige Basismethoden als auch fortgeschrittene Methoden (hinsichtlich 
Komplexität, Informationsgehalt, Implementierungsaufwand, 
z.B. umfangreiches Prüfwerkzeug) umfassen</t>
    </r>
  </si>
  <si>
    <r>
      <t xml:space="preserve">Tech. Maßnahme – Tests
</t>
    </r>
    <r>
      <rPr>
        <sz val="8"/>
        <color rgb="FF000000"/>
        <rFont val="Arial"/>
        <family val="2"/>
        <scheme val="minor"/>
      </rPr>
      <t>Der Grad, zu dem das KI-System interpretierbar oder erklärbar für die 
erlaubten Nutzergruppen ist, muss unter Beachtung der Risikoanalyse (TR2.1) 
und Zweckbestimmung (TR1.1) analysiert werden.</t>
    </r>
    <r>
      <rPr>
        <b/>
        <sz val="8"/>
        <color rgb="FF000000"/>
        <rFont val="Arial"/>
        <family val="2"/>
        <scheme val="minor"/>
      </rPr>
      <t xml:space="preserve">
</t>
    </r>
    <r>
      <rPr>
        <sz val="8"/>
        <color rgb="FF000000"/>
        <rFont val="Arial"/>
        <family val="2"/>
        <scheme val="minor"/>
      </rPr>
      <t>Hierzu muss der Zusammenhang zwischen Eingaben und Ausgaben der 
KI-Komponenten des Systems anhand der inhärenten Merkmale der Komponente 
oder geeigneter technischer Tests untersucht werden.</t>
    </r>
    <r>
      <rPr>
        <b/>
        <sz val="8"/>
        <color rgb="FF000000"/>
        <rFont val="Arial"/>
        <family val="2"/>
        <scheme val="minor"/>
      </rPr>
      <t xml:space="preserve">
</t>
    </r>
    <r>
      <rPr>
        <sz val="8"/>
        <color rgb="FF000000"/>
        <rFont val="Arial"/>
        <family val="2"/>
        <scheme val="minor"/>
      </rPr>
      <t xml:space="preserve">– Es genügen Basismethoden (hinsichtlich Komplexität, Informationsgehalt, Implementierungsaufwand, z.B. eine simple Metrik) </t>
    </r>
  </si>
  <si>
    <t>Es müssen Maßnahmen ergriffen werden, 
um das KI-System im Hinblick auf seinen Verwendungszweck interpretierbar oder
angemessen erklärbar zu machen.</t>
  </si>
  <si>
    <t>Es wurden keine angemessenen
Maßnahmen zum Herstellen von Interpretier-barkeit oder Erklärbarkeit vorgenommen.</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</si>
  <si>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</si>
  <si>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</si>
  <si>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Menschliche Aufsicht und Kontrolle</t>
  </si>
  <si>
    <t>Menschliche Handlungsfähigkeit</t>
  </si>
  <si>
    <t>Der Grad der Autonomie des KI-Systems
muss analysiert und dokumentiert werden.</t>
  </si>
  <si>
    <r>
      <rPr>
        <b/>
        <sz val="8"/>
        <color rgb="FF000000"/>
        <rFont val="Arial"/>
        <family val="2"/>
        <scheme val="minor"/>
      </rPr>
      <t xml:space="preserve">Analyse – Definition
</t>
    </r>
    <r>
      <rPr>
        <sz val="8"/>
        <color rgb="FF000000"/>
        <rFont val="Arial"/>
        <family val="2"/>
        <scheme val="minor"/>
      </rPr>
      <t xml:space="preserve">– Feststellung der Autonomiestufe bzw. des Grads an menschlicher
Kontrolle und Einbindung in Entscheidungsprozesse 
– Begründete Abgrenzung von anderen Autonomiestufen
– Ableitung von spezifischen gesetzlichen Anforderungen in Bezug 
auf menschliche Aufsicht und Kontrolle
</t>
    </r>
  </si>
  <si>
    <r>
      <rPr>
        <b/>
        <sz val="8"/>
        <color theme="1"/>
        <rFont val="Arial"/>
        <family val="2"/>
        <scheme val="minor"/>
      </rPr>
      <t xml:space="preserve">Analyse – Definition
</t>
    </r>
    <r>
      <rPr>
        <sz val="8"/>
        <color theme="1"/>
        <rFont val="Arial"/>
        <family val="2"/>
        <scheme val="minor"/>
      </rPr>
      <t xml:space="preserve">– Feststellung der Autonomiestufe bzw. des Grads an menschlicher 
Kontrolle und Einbindung in Entscheidungsprozesse 
– Ableitung von spezifischen gesetzlichen Anforderungen in Bezug 
auf menschliche Aufsicht und Kontrolle
</t>
    </r>
  </si>
  <si>
    <r>
      <rPr>
        <b/>
        <sz val="8"/>
        <color theme="1"/>
        <rFont val="Arial"/>
        <family val="2"/>
        <scheme val="minor"/>
      </rPr>
      <t>Analyse – Definition</t>
    </r>
    <r>
      <rPr>
        <sz val="8"/>
        <color theme="1"/>
        <rFont val="Arial"/>
        <family val="2"/>
        <scheme val="minor"/>
      </rPr>
      <t xml:space="preserve">
– Feststellung der Autonomiestufe bzw. des Grads an menschlicher 
Kontrolle und Einbindung in Entscheidungsprozesse 
– Ableitung von spezifischen gesetzlichen Anforderungen in Bezug 
auf menschliche Aufsicht und Kontrolle
</t>
    </r>
  </si>
  <si>
    <t>Autonomiestufen werden in 
der ISO/IEC 22989 vorgestellt</t>
  </si>
  <si>
    <t>Die Risiken im Kontext der Einschränkung
der menschlichen Handlungsfähigkeit durch 
das KI-System müssen analysiert werden.</t>
  </si>
  <si>
    <r>
      <rPr>
        <b/>
        <sz val="8"/>
        <color rgb="FF000000"/>
        <rFont val="Arial"/>
        <family val="2"/>
        <scheme val="minor"/>
      </rPr>
      <t xml:space="preserve">Analyse-Risiko
</t>
    </r>
    <r>
      <rPr>
        <sz val="8"/>
        <color rgb="FF000000"/>
        <rFont val="Arial"/>
        <family val="2"/>
        <scheme val="minor"/>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Strukturierte Abstufung und Priorisierung der Risiken 
</t>
    </r>
    <r>
      <rPr>
        <sz val="8"/>
        <color rgb="FFFF0000"/>
        <rFont val="Arial"/>
        <family val="2"/>
        <scheme val="minor"/>
      </rPr>
      <t xml:space="preserve">
</t>
    </r>
    <r>
      <rPr>
        <sz val="8"/>
        <color rgb="FF000000"/>
        <rFont val="Arial"/>
        <family val="2"/>
        <scheme val="minor"/>
      </rPr>
      <t>Mindestens die folgenden Risikoquellen sind unter Beachtung 
des Verwendungszwecks (siehe TR1.1) zu berücksichtigen:
– Ethische Dilemmata / Entscheidungsfindung
– Unklare Rechenschaft
– Automation Bias / übermäßige Abhängigkeit
– Vortäuschung menschlicher Züge oder unklare Urheberschaft
– Mangelnde Nachvollziehbarkeit von Entscheidungen</t>
    </r>
  </si>
  <si>
    <r>
      <rPr>
        <b/>
        <sz val="8"/>
        <color rgb="FF000000"/>
        <rFont val="Arial"/>
        <family val="2"/>
        <scheme val="minor"/>
      </rPr>
      <t xml:space="preserve">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</si>
  <si>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r>
      <rPr>
        <b/>
        <sz val="8"/>
        <color rgb="FF000000"/>
        <rFont val="Arial"/>
        <family val="2"/>
        <scheme val="minor"/>
      </rPr>
      <t xml:space="preserve">Analyse-Risiko
</t>
    </r>
    <r>
      <rPr>
        <sz val="8"/>
        <color rgb="FF000000"/>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</si>
  <si>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t>TR1.7, MA1.4, 
MA1.6, MA2.3</t>
  </si>
  <si>
    <t>Es muss möglich sein, Feedback zum KI-System 
zu geben, Rückfragen zu stellen und Probleme 
zu melden.</t>
  </si>
  <si>
    <r>
      <rPr>
        <b/>
        <sz val="8"/>
        <color theme="1"/>
        <rFont val="Arial"/>
        <family val="2"/>
        <scheme val="minor"/>
      </rPr>
      <t>Tech. Maßnahmen – Betrieb</t>
    </r>
    <r>
      <rPr>
        <sz val="8"/>
        <color theme="1"/>
        <rFont val="Arial"/>
        <family val="2"/>
        <scheme val="minor"/>
      </rPr>
      <t xml:space="preserve">
– Es gibt mindestens einen Kanal durch den mit dem Anbieter 
zum Zweck des Feedbacks in Kontakt getreten werden kann
– Kanäle sind durch jeden mit begründetem Interesse klar im Kontext 
des KI-Systems identifizierbar
– Es ist erkennbar, dass die möglichen Kanäle zur Abgabe 
von Feedback vorgesehen sind
</t>
    </r>
    <r>
      <rPr>
        <b/>
        <sz val="8"/>
        <color theme="1"/>
        <rFont val="Arial"/>
        <family val="2"/>
        <scheme val="minor"/>
      </rPr>
      <t xml:space="preserve">
Orga. Maßnahmen - Systemnahe Prozesse</t>
    </r>
    <r>
      <rPr>
        <sz val="8"/>
        <color theme="1"/>
        <rFont val="Arial"/>
        <family val="2"/>
        <scheme val="minor"/>
      </rPr>
      <t xml:space="preserve">
– Sichtung und Überprüfung des Feedbacks und die Vergabe
der Verantwortung hierfür erfolgt
– Garantierte und individualisierte Beantwortung von Anfragen
– Prozess zur Weiterleitung und Einarbeitung des Feedbacks 
in die Weiterentwicklung des KI-Systems
</t>
    </r>
  </si>
  <si>
    <r>
      <rPr>
        <b/>
        <sz val="8"/>
        <color theme="1"/>
        <rFont val="Arial"/>
        <family val="2"/>
        <scheme val="minor"/>
      </rPr>
      <t>Tech. Maßnahmen – Betrieb</t>
    </r>
    <r>
      <rPr>
        <sz val="8"/>
        <color theme="1"/>
        <rFont val="Arial"/>
        <family val="2"/>
        <scheme val="minor"/>
      </rPr>
      <t xml:space="preserve">
– Es gibt mindestens einen Kanal durch den mit dem Anbieter zum Zweck 
des Feedbacks in Kontakt getreten werden kann
– Kanäle sind durch jeden mit begründetem Interesse  klar im Kontext 
des KI-Systems identifizierbar
</t>
    </r>
    <r>
      <rPr>
        <b/>
        <sz val="8"/>
        <color theme="1"/>
        <rFont val="Arial"/>
        <family val="2"/>
        <scheme val="minor"/>
      </rPr>
      <t>Orga. Maßnahmen – Systemnahe Prozesse</t>
    </r>
    <r>
      <rPr>
        <sz val="8"/>
        <color theme="1"/>
        <rFont val="Arial"/>
        <family val="2"/>
        <scheme val="minor"/>
      </rPr>
      <t xml:space="preserve">
– Sichtung und Überprüfung des Feedbacks und die Vergabe 
der Verantwortung hierfür erfolgt</t>
    </r>
  </si>
  <si>
    <r>
      <rPr>
        <b/>
        <sz val="8"/>
        <color theme="1"/>
        <rFont val="Arial"/>
        <family val="2"/>
        <scheme val="minor"/>
      </rPr>
      <t xml:space="preserve">Tech. Maßnahmen – Betrieb
</t>
    </r>
    <r>
      <rPr>
        <sz val="8"/>
        <color theme="1"/>
        <rFont val="Arial"/>
        <family val="2"/>
        <scheme val="minor"/>
      </rPr>
      <t>– Die Kontaktinformationen sind dem KI-System beigefügt und 
können zum Zweck des Feedbacks genutzt werden</t>
    </r>
  </si>
  <si>
    <t>Es sind keine Kanäle vorhanden, 
um Feedback zum KI-System zu geben.</t>
  </si>
  <si>
    <t xml:space="preserve">betroffene Personen oder Betreiber sein.
Mögliche Feedback-Kanäle sind Umfragen/Fragebögen, Feedback-Formulare, Service-Rufnummern, 
E-Mail-Adressen, Auftritte in sozialen Medien, Vorschlagsboxen, Chat-Bots 
oder Kommentarfunktionen. </t>
  </si>
  <si>
    <r>
      <rPr>
        <b/>
        <sz val="8"/>
        <color rgb="FF000000"/>
        <rFont val="Arial"/>
        <family val="2"/>
        <scheme val="minor"/>
      </rPr>
      <t xml:space="preserve">Orga. Maßnahmen – Benutzerinstruktion
</t>
    </r>
    <r>
      <rPr>
        <sz val="8"/>
        <color rgb="FF000000"/>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Beschreibung über die Interpretation der Ausgaben des KI-Systems
– Notwendige Maßnahmen zur menschlichen Aufsicht über das System
– Notwendige Instandhaltungsmaßnahmen (inklusive Softwareupdates)
</t>
    </r>
    <r>
      <rPr>
        <b/>
        <sz val="8"/>
        <color rgb="FF000000"/>
        <rFont val="Arial"/>
        <family val="2"/>
        <scheme val="minor"/>
      </rPr>
      <t xml:space="preserve">
Tech. Maßnahmen – Betrieb
</t>
    </r>
    <r>
      <rPr>
        <sz val="8"/>
        <color rgb="FF000000"/>
        <rFont val="Arial"/>
        <family val="2"/>
        <scheme val="minor"/>
      </rPr>
      <t>– Integration von Benachrichtigungen an natürliche Personen, die mit 
dem KI-System interagiert darüber, dass die Ergebnisse und potenzielle Entscheidungsfindung auf dem KI-System basieren
– Warnung vor sogenanntem "Automation Bias" und möglichen Folgen</t>
    </r>
  </si>
  <si>
    <r>
      <rPr>
        <b/>
        <sz val="8"/>
        <color rgb="FF000000"/>
        <rFont val="Arial"/>
        <family val="2"/>
        <scheme val="minor"/>
      </rPr>
      <t xml:space="preserve">Orga. Maßnahmen – Benutzerinstruktion
</t>
    </r>
    <r>
      <rPr>
        <sz val="8"/>
        <color rgb="FF000000"/>
        <rFont val="Arial"/>
        <family val="2"/>
        <scheme val="minor"/>
      </rPr>
      <t xml:space="preserve">Bereitstellung von Instruktionen und Informationen mit mindestens
den folgenden Inhalten:
– Kontaktinformationen
– Zweck des KI-Systems
– Vorgesehener Anwendungsbereich des KI-Systems
– Beschreibung über die Interpretation der Ausgaben des KI-Systems
– Notwendige Maßnahmen zur menschlichen Aufsicht über das System
</t>
    </r>
    <r>
      <rPr>
        <b/>
        <sz val="8"/>
        <color rgb="FF000000"/>
        <rFont val="Arial"/>
        <family val="2"/>
        <scheme val="minor"/>
      </rPr>
      <t xml:space="preserve">Tech. Maßnahmen – Betrieb
</t>
    </r>
    <r>
      <rPr>
        <sz val="8"/>
        <color rgb="FF000000"/>
        <rFont val="Arial"/>
        <family val="2"/>
        <scheme val="minor"/>
      </rPr>
      <t>– Integration von Benachrichtigungen an natürliche Personen, die mit 
dem KI-System interagiert darüber, dass die Ergebnisse und potenzielle Entscheidungsfindung auf dem KI-System basieren
– Warnung vor sogenanntem "Automation Bias" und möglichen Folgen</t>
    </r>
  </si>
  <si>
    <t>Die Bereitstellung der 
Benachrichtigungen und
Instruktionen kann über eine 
grafische Schnittstelle erfolgen.</t>
  </si>
  <si>
    <t>TR2, MA1.6</t>
  </si>
  <si>
    <r>
      <rPr>
        <b/>
        <sz val="8"/>
        <color theme="1"/>
        <rFont val="Arial"/>
        <family val="2"/>
        <scheme val="minor"/>
      </rPr>
      <t xml:space="preserve">Tech. Maßnahmen – Betrieb
</t>
    </r>
    <r>
      <rPr>
        <sz val="8"/>
        <color theme="1"/>
        <rFont val="Arial"/>
        <family val="2"/>
        <scheme val="minor"/>
      </rPr>
      <t>Die entsprechenden Mechanismen zum Anfechten, Korrigieren oder Unterbrechen
des KI-Systems müssen auf die identifizierten Risiken, den Zweck des KI-Systems
und die Adressaten der Maßnahme abgestimmt werden.
Maßnahmen, die in Betracht gezogen werden, umfassen zumindest:</t>
    </r>
    <r>
      <rPr>
        <b/>
        <sz val="8"/>
        <color theme="1"/>
        <rFont val="Arial"/>
        <family val="2"/>
        <scheme val="minor"/>
      </rPr>
      <t xml:space="preserve">
</t>
    </r>
    <r>
      <rPr>
        <sz val="8"/>
        <color theme="1"/>
        <rFont val="Arial"/>
        <family val="2"/>
        <scheme val="minor"/>
      </rPr>
      <t>–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t>
    </r>
  </si>
  <si>
    <t>Es sind keine Mechanismen zum 
Anfechten, Korrigieren oder Unterbrechen 
des KI-Systems vorhanden.</t>
  </si>
  <si>
    <t>Sowohl human-in-the-loop (HITL) 
als auch human-on-the-loop (HOTL) Konstruktionen sind möglich</t>
  </si>
  <si>
    <t>MA1.4,
VE2.2</t>
  </si>
  <si>
    <t>Es muss bewertet werden, ob die ergriffenen Maßnahmen die festgestellten Risiken auf ein annehmbares Maß vermindert haben und die 
Qualität des KI-Systems den gesetzten Ziel-
vorgaben entspricht.</t>
  </si>
  <si>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</si>
  <si>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Menschliche Aufsicht</t>
  </si>
  <si>
    <t>Der Grad der Autonomie des KI-Systems 
muss analysiert und dokumentiert werden.</t>
  </si>
  <si>
    <t>Die Risiken, dass das KI-System ohne 
menschliche Aufsicht (und Kontrolle) 
zu Schäden führt, müssen analysiert werden.</t>
  </si>
  <si>
    <r>
      <rPr>
        <b/>
        <sz val="8"/>
        <color rgb="FF000000"/>
        <rFont val="Arial"/>
        <family val="2"/>
        <scheme val="minor"/>
      </rPr>
      <t xml:space="preserve">Analyse-Risiko
</t>
    </r>
    <r>
      <rPr>
        <sz val="8"/>
        <color rgb="FF000000"/>
        <rFont val="Arial"/>
        <family val="2"/>
        <scheme val="minor"/>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t>
    </r>
    <r>
      <rPr>
        <sz val="8"/>
        <color rgb="FFFF0000"/>
        <rFont val="Arial"/>
        <family val="2"/>
        <scheme val="minor"/>
      </rPr>
      <t xml:space="preserve">
</t>
    </r>
    <r>
      <rPr>
        <sz val="8"/>
        <color rgb="FF000000"/>
        <rFont val="Arial"/>
        <family val="2"/>
        <scheme val="minor"/>
      </rPr>
      <t>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</si>
  <si>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rial"/>
        <family val="2"/>
        <scheme val="minor"/>
      </rPr>
      <t xml:space="preserve">Analyse-Risiko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</si>
  <si>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rial"/>
        <family val="2"/>
        <scheme val="minor"/>
      </rPr>
      <t xml:space="preserve">Analyse-Risiko
</t>
    </r>
    <r>
      <rPr>
        <sz val="8"/>
        <color rgb="FF000000"/>
        <rFont val="Arial"/>
        <family val="2"/>
        <scheme val="minor"/>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</si>
  <si>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t>Das KI-System muss in Entwicklung und Betrieb überwacht werden (können).</t>
  </si>
  <si>
    <t>Das KI-System kann im Betrieb nicht überwacht werden.</t>
  </si>
  <si>
    <t>VE1.7, CY1.5 (Angriffe während der Betriebsphase), DA1.4</t>
  </si>
  <si>
    <t>Die mit dem Betrieb und der Aufsicht
betrauten Personen müssen Zugang zu einer verständlichen Beschreibung des KI-Systems 
haben und angemessen auf die Ausübung ihrer
Aufgaben vorbereitet werden.</t>
  </si>
  <si>
    <r>
      <rPr>
        <b/>
        <sz val="8"/>
        <color rgb="FF000000"/>
        <rFont val="Arial"/>
        <family val="2"/>
        <scheme val="minor"/>
      </rPr>
      <t xml:space="preserve">Orga. Maßnahmen – Benutzerinstruktion
</t>
    </r>
    <r>
      <rPr>
        <sz val="8"/>
        <color rgb="FF000000"/>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Bekannte Risiken und Implikationen für die Nutzung (der Ergebnisse) 
des KI-Systems 
– Zusammenfassung der erwarteten Eingabedaten
– Beschreibung über die Interpretation der Ausgaben des KI-Systems
– Beschreibung des Grads der Autonomie und der Entscheidungsprozesse 
des KI-Systems
– Notwendige/mögliche Maßnahmen zur menschlichen Aufsicht und Kontrolle 
über das System, wann diese angewendet werden sollen/können, und wie
erkennbar wird, dass ein menschlicher Eingriff gefordert ist
– Anforderungen an die Nutzer (z.B. Schulung) für die Verwendung des 
KI-Systems
– Notwendige Instandhaltungsmaßnahmen (inklusive Softwareupdates)
</t>
    </r>
    <r>
      <rPr>
        <b/>
        <sz val="8"/>
        <color rgb="FF000000"/>
        <rFont val="Arial"/>
        <family val="2"/>
        <scheme val="minor"/>
      </rPr>
      <t xml:space="preserve">Orga. Maßnahmen – Schulungen
</t>
    </r>
    <r>
      <rPr>
        <sz val="8"/>
        <color rgb="FF000000"/>
        <rFont val="Arial"/>
        <family val="2"/>
        <scheme val="minor"/>
      </rPr>
      <t>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Ordnungsgemäßer Umgang mit relevanten Datentypen (z.B. Trainings- und Validierungsdaten, Betriebsdaten, Kundendaten) auch gemäß den geltenden
Richtlinien sowie gesetzlichen und regulatorischen Anforderungen
– Angemessene Durchführung von Training, Validierung und Testen im 
Betrieb des KI-Systems und seiner Komponenten 
– Überwachung der Leistung des KI-Systems und seiner Komponenten
– Informationen über potenzielle Bedrohungsszenarien und dazugehöriger Mitigationsmaßnahmen (z.B. Interventionen)
– Verhalten im Falle von Sicherheitsvorfällen</t>
    </r>
  </si>
  <si>
    <r>
      <rPr>
        <b/>
        <sz val="8"/>
        <rFont val="Arial"/>
        <family val="2"/>
        <scheme val="minor"/>
      </rPr>
      <t>Orga. Maßnahmen – Benutzerinstruktion</t>
    </r>
    <r>
      <rPr>
        <sz val="8"/>
        <rFont val="Arial"/>
        <family val="2"/>
        <scheme val="minor"/>
      </rPr>
      <t xml:space="preserve">
Bereitstellung von Adressatengerecht aufbereiteten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
</t>
    </r>
    <r>
      <rPr>
        <b/>
        <sz val="8"/>
        <rFont val="Arial"/>
        <family val="2"/>
        <scheme val="minor"/>
      </rPr>
      <t>Orga. Maßnahmen – Schulungen</t>
    </r>
    <r>
      <rPr>
        <sz val="8"/>
        <rFont val="Arial"/>
        <family val="2"/>
        <scheme val="minor"/>
      </rPr>
      <t xml:space="preserve">
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Überwachung der Leistung des KI-Systems und seiner Komponenten
– Informationen über potenzielle Bedrohungsszenarien und dazugehöriger Mitigationsmaßnahmen (z.B. Interventionen)
– Verhalten im Falle von Sicherheitsvorfällen</t>
    </r>
  </si>
  <si>
    <r>
      <rPr>
        <b/>
        <sz val="8"/>
        <color theme="1"/>
        <rFont val="Arial"/>
        <family val="2"/>
        <scheme val="minor"/>
      </rPr>
      <t>Orga. Maßnahmen – Benutzerinstruktion</t>
    </r>
    <r>
      <rPr>
        <sz val="8"/>
        <color theme="1"/>
        <rFont val="Arial"/>
        <family val="2"/>
        <scheme val="minor"/>
      </rPr>
      <t xml:space="preserve">
Bereitstellung von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t>
    </r>
  </si>
  <si>
    <t>Es sind keine Materialien vorhanden, 
die die mit dem Betrieb und der Aufsicht 
betrauten Personen auf einen Umgang 
mit dem KI-System vorbereiten.</t>
  </si>
  <si>
    <r>
      <rPr>
        <b/>
        <sz val="8"/>
        <color theme="1"/>
        <rFont val="Arial"/>
        <family val="2"/>
        <scheme val="minor"/>
      </rPr>
      <t xml:space="preserve">Bewertung
</t>
    </r>
    <r>
      <rPr>
        <sz val="8"/>
        <color theme="1"/>
        <rFont val="Arial"/>
        <family val="2"/>
        <scheme val="minor"/>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</si>
  <si>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</si>
  <si>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KI-spezifische Cybersicherheit</t>
  </si>
  <si>
    <t>Allgemeine KI-spezifische Cybersicherheit</t>
  </si>
  <si>
    <r>
      <rPr>
        <b/>
        <sz val="8"/>
        <color rgb="FF000000"/>
        <rFont val="Arial"/>
        <family val="2"/>
        <scheme val="minor"/>
      </rPr>
      <t xml:space="preserve">Analyse – Risiko
</t>
    </r>
    <r>
      <rPr>
        <sz val="8"/>
        <color rgb="FF000000"/>
        <rFont val="Arial"/>
        <family val="2"/>
        <scheme val="minor"/>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von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
</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</si>
  <si>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</si>
  <si>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r>
      <t xml:space="preserve">Analyse – Risiko
</t>
    </r>
    <r>
      <rPr>
        <sz val="8"/>
        <color rgb="FF000000"/>
        <rFont val="Arial"/>
        <family val="2"/>
        <scheme val="minor"/>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</si>
  <si>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t>Es wurde keine Risikoanalyse 
durchgeführt.</t>
  </si>
  <si>
    <t xml:space="preserve">Wichtige Standards sind zum 
Beispiel  BSI Grundschutz,
ISO 27k series, IEC 62443, 
ISO/SAE 21434, ETSI EN 303 645,
NIST AI RMF, ... 
</t>
  </si>
  <si>
    <t>TR1.1 (Verwendungszweck)</t>
  </si>
  <si>
    <r>
      <rPr>
        <b/>
        <sz val="8"/>
        <color theme="1"/>
        <rFont val="Arial"/>
        <family val="2"/>
        <scheme val="minor"/>
      </rPr>
      <t xml:space="preserve">Orga. Maßnahmen – Governance &amp; Tech. Maßnahmen – Betrieb
(Anbindung Cybersicherheitsmanagementsystem)
</t>
    </r>
    <r>
      <rPr>
        <sz val="8"/>
        <color theme="1"/>
        <rFont val="Arial"/>
        <family val="2"/>
        <scheme val="minor"/>
      </rPr>
      <t xml:space="preserve">
Es muss vorgesehen sein, dass  das KI-System in einer Cybersicherheits-managementsystem (CSMS) eingebettet werden kann, insbesondere:
– Monitoring und Logging müssen implementiert oder vorgesehen sein 
und Schnittstellen für ein CSMS bereit stellen
– die Dokumentation von Schwachstellen, Assets, Risikoanalyse und den Er-gebnissen aus allen Mitigationsmaßnahmen sollte vollständig bereit gehalten sein
– eine Strategie für Software -und Sicherheitsupdates sollte vorhanden sein
Das KI-System sollte Schnittstellen bereithalten um mindestens die folgenden 
Aspekte eines CSM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Ein Cybersicherheits-Monitoringsystem
– Zugangsmanagement zu den verschiedenen Assets und Komponenten 
des Systems 
– Aspekte des Personalmanagement, wie Schulung, Ausbildung und 
Rollenzuweisung in der Entwicklung und Begleitung des KI-Produkts
– eine Analyse des erwarteten und tatsächlichen Zeitrahmens innerhalb dessen Sicherheitsaktualisierungen für das KI-System zur Verfügung gestellt werden
– Strategien für regelmäßigen Review von Sicherheitsmaßnahmen und -protokollen
– Dokumentation des CSMS. Die Informationen müssen direkt mit der
KI-Anwendung einsehbar sein.
– Das CSMS kann durch Compliance mit entsprechenden Cybersicherheits-
standards nachgewiesen sein, ein entsprechender Nachweis für das entwickelte 
KI-System sollte automatisch als A gewertet sein (z.B.. BSI Grundschutz, ISO 
27k series, IEC 62443, ISO/SAE 21434, ETSI EN 303 645, NIST AI RMF, ... ) </t>
    </r>
  </si>
  <si>
    <r>
      <rPr>
        <b/>
        <sz val="8"/>
        <color rgb="FF000000"/>
        <rFont val="Arial"/>
        <family val="2"/>
        <scheme val="minor"/>
      </rPr>
      <t xml:space="preserve">Orga. Maßnahmen – Governance &amp; Tech. Maßnahmen – Betrieb
(Anbindung Cybersicherheitsmanagementsystem)
</t>
    </r>
    <r>
      <rPr>
        <sz val="8"/>
        <color rgb="FF000000"/>
        <rFont val="Arial"/>
        <family val="2"/>
        <scheme val="minor"/>
      </rPr>
      <t xml:space="preserve">
Es sollte so viele Information, wie möglich bereit gestellt werden, so dass das 
KI-System in einer Cybersicherheitsmanagementsystem (CSMS) eingebettet 
werden kann, insbesondere:
– Monitoring und Logging müssen mindestens vorgesehen sein und Schnittstellen
für ein CSMS bereit stellen
– die Dokumentation von Schwachstellen, Assets, Risikoanalyse und den Er-gebnissen aus allen Mitigationsmaßnahmen sollte vollständig bereit gehalten sein
Das KI-System sollte Schnittstellen bereithalten um mindestens die folgenden 
Aspekte eines CSMS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Zugangsmanagement zu den verschiedenen Assets und Komponenten 
des Systems 
– eine Analyse des erwarteten und tatsächlichen Zeitrahmens innerhalb dessen Sicherheitsaktualisierungen für das KI System/Anwendung zur Verfügung gestellt werden
– Strategien für regelmäßigen Review von Sicherheitsmaßnahmen und -protokollen
– Dokumentation des CSMS. Die Informationen müssen direkt mit der 
KI-Anwendung einsehbar sein.
– Das CSMS kann durch Compliance mit entsprechenden Cybersicherheits-
standards nachgewiesen sein, ein entsprechender Nachweis für das entwickelte 
KI-System sollte automatisch als A gewertet sein (z.B.. BSI Grundschutz, ISO 
27k series, IEC 62443, ISO/SAE 21434, ETSI EN 303 645, NIST AI RMF, ... ) 
</t>
    </r>
  </si>
  <si>
    <r>
      <rPr>
        <b/>
        <sz val="8"/>
        <color theme="1"/>
        <rFont val="Arial"/>
        <family val="2"/>
        <scheme val="minor"/>
      </rPr>
      <t xml:space="preserve">Orga. Maßnahmen – Governance &amp; Tech. Maßnahmen – Betrieb
(Anbindung Cybersicherheitsmanagementsystem)
</t>
    </r>
    <r>
      <rPr>
        <sz val="8"/>
        <color theme="1"/>
        <rFont val="Arial"/>
        <family val="2"/>
        <scheme val="minor"/>
      </rPr>
      <t xml:space="preserve">
– Es sollte so viele Information zur KI-spezifischen Cybersicherheit, wie möglich
bereit gestellt werden um das KI-System in größere Systemkontexte einbetten 
zu können insbesondere die Dokumentation von Schwachstellen, Assets, 
Risikoanalyse und den Ergebnissen aus allen Mitigationsmaßnahmen
</t>
    </r>
  </si>
  <si>
    <t>Die Einbettung in ein CSMS wurde in 
keiner Weise vorgesehen oder erleichtert.</t>
  </si>
  <si>
    <t xml:space="preserve">Wichtige Standards sind zum Beispiel 
BSI Grundschutz, ISO 27k series,
IEC 62443, ISO/SAE 21434, ETSI 
EN 303 645, NIST AI RMF, ... </t>
  </si>
  <si>
    <t>CY1.5 (Datenzugang),
CY2.3, 
CY2.2 (KI-spezifische Mitigationsmaßnahmen)</t>
  </si>
  <si>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r>
      <rPr>
        <b/>
        <sz val="8"/>
        <color theme="1"/>
        <rFont val="Arial"/>
        <family val="2"/>
        <scheme val="minor"/>
      </rPr>
      <t xml:space="preserve">Tech. Maßnahmen – Modelle, Daten
</t>
    </r>
    <r>
      <rPr>
        <sz val="8"/>
        <color theme="1"/>
        <rFont val="Arial"/>
        <family val="2"/>
        <scheme val="minor"/>
      </rPr>
      <t xml:space="preserve">– Es muss eine Sicherheitsüberprüfung aller identifizierten genutzten 
vortrainierten Modelle, Datensätze und Softwarebibliotheken aus der
 Lieferkette nachgewiesen sein
</t>
    </r>
    <r>
      <rPr>
        <b/>
        <sz val="8"/>
        <color theme="1"/>
        <rFont val="Arial"/>
        <family val="2"/>
        <scheme val="minor"/>
      </rPr>
      <t xml:space="preserve">
Tech. Maßnahmen – Betrieb
</t>
    </r>
    <r>
      <rPr>
        <sz val="8"/>
        <color theme="1"/>
        <rFont val="Arial"/>
        <family val="2"/>
        <scheme val="minor"/>
      </rPr>
      <t>– Es sollten Schnittstellen vorhanden sein, welche die technische 
Überwachung der benutzen Soft- und Hardware des KI-Systems auch 
bzgl. Schwachstellen durch ein Cybersicherheitsmonitoring erlauben</t>
    </r>
  </si>
  <si>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</si>
  <si>
    <r>
      <rPr>
        <b/>
        <sz val="8"/>
        <color theme="1"/>
        <rFont val="Arial"/>
        <family val="2"/>
        <scheme val="minor"/>
      </rPr>
      <t xml:space="preserve">Orga. Maßnahmen – Systemnahe Prozesse
</t>
    </r>
    <r>
      <rPr>
        <sz val="8"/>
        <color theme="1"/>
        <rFont val="Arial"/>
        <family val="2"/>
        <scheme val="minor"/>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t>
    </r>
  </si>
  <si>
    <t>Es wurden keine Maßnahmen ergriffen 
zur Kontrolle der Cybersicherheitsaspekte 
des KI-Lieferkettenmanagements.</t>
  </si>
  <si>
    <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im Risikomanagement.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rial"/>
        <family val="2"/>
        <scheme val="minor"/>
      </rPr>
      <t xml:space="preserve">
Tech. Maßnahmen – System / Betrieb
</t>
    </r>
    <r>
      <rPr>
        <sz val="8"/>
        <color rgb="FF000000"/>
        <rFont val="Arial"/>
        <family val="2"/>
        <scheme val="minor"/>
      </rPr>
      <t>– Sicherheitskontrollen zur Verhinderung von Missbrauch und fehlerhafter Nutzung
sollten vorgesehen sein und wenn möglich vor der Produktionsphase implementiert werden. Dies schließt Methoden der Prompt/Output-Filterung bei generativer KI mit 
ein. Zu Absicherung gegen Datenzugang siehe auch CY1.5
– Es muss Vorgesehen sein Inferenzeingaben, Anfragen und Prompts als Teil des Monitoring und Logging aufgezeichnet zu  werden, um im Falle einer Fehlnutzung, 
einer Kompromittierung oder eines Missbrauchs eine Untersuchung zu ermöglichen.
– Red Teaming des gesamten Systems mit Bezug auf Missbrauch oder fehlerhafte Nutzung des KI-Systems sollte durchgeführt werden</t>
    </r>
  </si>
  <si>
    <r>
      <rPr>
        <b/>
        <sz val="8"/>
        <color rgb="FF000000"/>
        <rFont val="Arial"/>
        <family val="2"/>
        <scheme val="minor"/>
      </rP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rial"/>
        <family val="2"/>
        <scheme val="minor"/>
      </rPr>
      <t xml:space="preserve">Tech. Maßnahmen – Betrieb
</t>
    </r>
    <r>
      <rPr>
        <sz val="8"/>
        <color rgb="FF000000"/>
        <rFont val="Arial"/>
        <family val="2"/>
        <scheme val="minor"/>
      </rPr>
      <t>– Es muss Vorgesehen sein Inferenzeingaben, Anfragen und Prompts als Teil 
des Monitoring und Logging aufgezeichnet zu  werden, um im Falle einer Fehlnutzung, einer Kompromittierung oder eines Missbrauchs eine Untersuchung zu ermöglichen.</t>
    </r>
  </si>
  <si>
    <r>
      <rPr>
        <b/>
        <sz val="8"/>
        <color rgb="FF000000"/>
        <rFont val="Arial"/>
        <family val="2"/>
        <scheme val="minor"/>
      </rPr>
      <t xml:space="preserve">Org. Maßnahmen – Systemnahe Prozesse
</t>
    </r>
    <r>
      <rPr>
        <sz val="8"/>
        <color rgb="FF000000"/>
        <rFont val="Arial"/>
        <family val="2"/>
        <scheme val="minor"/>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</si>
  <si>
    <t>Es sind keine Maßnahmen vorhanden um fehlerhafte Nutzung und Missbrauch des
KI-Systems zu verhindern.</t>
  </si>
  <si>
    <t>VE2.5 (derselbe Indikator)</t>
  </si>
  <si>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Kommunikationssicherheit
</t>
    </r>
    <r>
      <rPr>
        <b/>
        <sz val="8"/>
        <color rgb="FF000000"/>
        <rFont val="Arial"/>
        <family val="2"/>
        <scheme val="minor"/>
      </rPr>
      <t xml:space="preserve">Tech. Maßnahme – Betrieb
</t>
    </r>
    <r>
      <rPr>
        <sz val="8"/>
        <color rgb="FF000000"/>
        <rFont val="Arial"/>
        <family val="2"/>
        <scheme val="minor"/>
      </rPr>
      <t>– technische Maßnahmen müssen definiert und vorgesehen sein, um den Zugriff 
auf personenbezogene und proprietäre Trainings-, Test-, Validierungs-, und  
anderen KI-spezifischen Daten durch nicht autorisierte Personen während
des Betriebs des KI-Systems zu verhindern, einschließlich Eingabe- und 
Ausgabedaten des KI-Systems</t>
    </r>
  </si>
  <si>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
sicherheit
</t>
    </r>
  </si>
  <si>
    <r>
      <rPr>
        <b/>
        <sz val="8"/>
        <color rgb="FF000000"/>
        <rFont val="Arial"/>
        <family val="2"/>
        <scheme val="minor"/>
      </rPr>
      <t xml:space="preserve">Org. Maßnahme – Governance
</t>
    </r>
    <r>
      <rPr>
        <sz val="8"/>
        <color rgb="FF000000"/>
        <rFont val="Arial"/>
        <family val="2"/>
        <scheme val="minor"/>
      </rPr>
      <t xml:space="preserve">– Die individuellen Zugriffsrechte auf die Daten müssen festgelegt
und dokumentiert werden und mit dem Zweck des KI-Systems übereinstimmen  
(siehe auch CY1.2)
</t>
    </r>
    <r>
      <rPr>
        <b/>
        <sz val="8"/>
        <color rgb="FF000000"/>
        <rFont val="Arial"/>
        <family val="2"/>
        <scheme val="minor"/>
      </rPr>
      <t xml:space="preserve">Tech. Maßnahme – Daten
</t>
    </r>
    <r>
      <rPr>
        <sz val="8"/>
        <color rgb="FF000000"/>
        <rFont val="Arial"/>
        <family val="2"/>
        <scheme val="minor"/>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
sicherheit
</t>
    </r>
  </si>
  <si>
    <t>Es wurden keine Maßnahmen ergriffen 
oder Sicherheitskontrollen eingeführt 
um den Zugang zu KI-spezifischen Daten
zu regeln.</t>
  </si>
  <si>
    <t>CY1.2 (CSMS), 
CY2.3 (Angriffe auf die Trainingsphase) DA2.1, DA2.2, DA3.2, MA1.3</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</si>
  <si>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</si>
  <si>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Widerstandsfähigkeit gegen KI-spezifische Angriffe</t>
  </si>
  <si>
    <r>
      <rPr>
        <b/>
        <sz val="8"/>
        <color rgb="FF000000"/>
        <rFont val="Arial"/>
        <family val="2"/>
        <scheme val="minor"/>
      </rPr>
      <t xml:space="preserve">Analyse – Risiko
</t>
    </r>
    <r>
      <rPr>
        <sz val="8"/>
        <color rgb="FF000000"/>
        <rFont val="Arial"/>
        <family val="2"/>
        <scheme val="minor"/>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Das Risikobewertungsframework sollte möglichst in ein Cybersicherheits-managementsystem eingebettet werden können und dabei idealerweise 
bekannten Standards folgen.
</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</si>
  <si>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 
Das Risikobewertungsframework sollte möglichst in ein Cybersicherheits-managementsystem eingebettet werden können und dabei idealerweise 
bekannten Standards folgen.</t>
    </r>
  </si>
  <si>
    <r>
      <t xml:space="preserve">Analyse – Risiko
</t>
    </r>
    <r>
      <rPr>
        <sz val="8"/>
        <color rgb="FF000000"/>
        <rFont val="Arial"/>
        <family val="2"/>
        <scheme val="minor"/>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(z.B. Evasion
Attacks oder Data Poisoning) oder klassische Angriffe (z.B. in KI-Software-
bibliotheken eingebettete Malware) 
Das Risikobewertungsframework sollte möglichst in ein Cybersicherheits-managementsystem eingebettet werden können und dabei idealerweise 
bekannten Standards folgen.</t>
    </r>
  </si>
  <si>
    <t xml:space="preserve">Wichtige Standards sind zum 
Beispiel  BSI Grundschutz, ISO 27k series, IEC 62443, ISO/SAE 21434, 
ETSI EN 303 645, NIST AI RMF, ... 
</t>
  </si>
  <si>
    <t>Es wurden keine Maßnahmen ergriffen, 
um KI-spezifische Angriffe während des 
Betriebs zu mitigieren.</t>
  </si>
  <si>
    <t xml:space="preserve">Sicherheitskontrollen und Maßnahmen 
auf Modellebene können im Detail zum Beispiel sein:
Maßnahmen in der Modelarchitektur 
wie Model hardening durch Distillation, Maßnahmen im Training, wie Adversa-
rielles Training, oder Unsicherheitsme-thoden zur Erkennung adversarieller 
Inputs.
Sicherheitskontrollen auf Systemeben können zum Beispiel sein: Zugangs-Management, Benutzungsrestriktionen
für Anzahl der Aufrufe des Systems, 
Out-of-distribution Detection, Prompt Filtering
Für Details zur Taxonomy verschiedener Angriffsarten und Mitigationen siehe 
zum Beispiel MITRE ATLAS oder NIST
AI 100-2 E2023 zu "Adversarial Machine Learning: A Taxonomy and Terminology 
of Attacks and Mitigations" </t>
  </si>
  <si>
    <t>CY1.1 (Risiko), 
CY1.2 (CSMS), MA2.3 (Monitoring), VE1.3 
(Tests und Maßnahmen 
zur allgemeinen Robustheit), VE2.2 (Maßnahmen zur Mitigation von Systemfehler- und Ausfall), TR1.4, TR1.3</t>
  </si>
  <si>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 und fortgeschrittenen Methoden mindestens 
der folgende Angriffsarten ein:
a) data poisoning
b) label poisoning
c) KI-spezifische backdoor attacks
– Penetrationstests von Systemaspekten mit Bezug auf KI-spezifische Angriffe während 
der Vorbereitungs- und Modelltrainingsphase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angemessene KI-spezifische oder nicht-KI-spezifische Sicherheitskontrollen zur Mitigation
des identifizierten Risikos von Angriffen von Angriffen in der  Vorbereitungs- und Modelltrainings-phase des KI-Systems müssen auf Systemebene  eingeführt werden. 
– klassisches Sicherheitskontrollen des gesamten Systems im Betrieb sollten vorhergesehen 
und eingeplant sein einschließlich einer Einbindung in ein existierendes CSMS.
–</t>
    </r>
    <r>
      <rPr>
        <b/>
        <sz val="6.5"/>
        <color rgb="FF000000"/>
        <rFont val="Arial"/>
        <family val="2"/>
        <scheme val="minor"/>
      </rPr>
      <t xml:space="preserve"> </t>
    </r>
    <r>
      <rPr>
        <sz val="6.5"/>
        <color rgb="FF000000"/>
        <rFont val="Arial"/>
        <family val="2"/>
        <scheme val="minor"/>
      </rPr>
      <t>Red Teaming des gesamten Systems mit Bezug auf KI-spezifische Angriffe während 
der Vorbereitungs- und Modelltrainingsphase sollten durchgeführten werden.</t>
    </r>
  </si>
  <si>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mindestens der folgende Angriffsarten ein:
a) data poisoning
b) label poisoning
c) KI-spezifische backdoor attacks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
gehalt, Implementierungsaufwand, z.B. umfangreiches Prüfwerkzeug) umfassen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</si>
  <si>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r>
      <rPr>
        <b/>
        <sz val="6.5"/>
        <color rgb="FF000000"/>
        <rFont val="Arial"/>
        <family val="2"/>
        <scheme val="minor"/>
      </rPr>
      <t>Tech. Maßnahmen – Test 
(Metriken KI-Modelle Angriffsszenarien Vorbereitungs- 
und Modelltrainingsphase</t>
    </r>
    <r>
      <rPr>
        <sz val="6.5"/>
        <color rgb="FF000000"/>
        <rFont val="Arial"/>
        <family val="2"/>
        <scheme val="minor"/>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möglichst der folgende Angriffsarten ein:
a) data poisoning
b) label poisoning
c) KI-spezifische backdoor attacks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6.5"/>
        <color rgb="FF000000"/>
        <rFont val="Arial"/>
        <family val="2"/>
        <scheme val="minor"/>
      </rPr>
      <t xml:space="preserve">Tech. Maßnahmen – System
</t>
    </r>
    <r>
      <rPr>
        <sz val="6.5"/>
        <color rgb="FF000000"/>
        <rFont val="Arial"/>
        <family val="2"/>
        <scheme val="minor"/>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</si>
  <si>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t xml:space="preserve">Sicherheitskontrollen auf Modell-ebene/Dateneben können zum 
Beispiel sein:
Mitigationen, wie zum Beispiel 
das Filtern auf Data Poisioning oder Suchsysteme für Modell-Backdoors
Sicherheitskontrollen auf Systemeben können zum Beispiel sein:
Access Management, Datensicher-heitsmanagement, Out-of-distribution Detection, 
Für Details zur Taxonomy 
verschiedener Angriffsarten und Mitigationen siehe zum Beispiel 
MITRE ATLAS oder NIST AI 100-2 E2023 zu "Adversarial Machine 
Learning: A Taxonomy and Termino-
logy of Attacks and Mitigations" </t>
  </si>
  <si>
    <t>CY1.1 (Risiko), 
DA1.1 (Risiko), 
CY1.2 (CSMS), 
CY1.8 (Datenzugang), 
VE1.3 (Tests und 
Maßnahmen zur allge-
meinen Robustheit), 
VE2.2 (Maßnahmen zur Mitigation von System-
fehler- und Ausfall), 
TR1.4, TR1.3</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</si>
  <si>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</si>
  <si>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</si>
  <si>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t>Verlässlichkeit</t>
  </si>
  <si>
    <t>Leistungsfähigkeit und Robustheit</t>
  </si>
  <si>
    <t xml:space="preserve">Risiken, die zu unzureichender Leistungsfähigkeit 
und Robustheit von KI-Komponenten des 
KI-Systems führen können, müssen unter 
Beachtung des Verwendungszwecks analysiert 
werden. </t>
  </si>
  <si>
    <r>
      <rPr>
        <b/>
        <sz val="8"/>
        <color rgb="FF000000"/>
        <rFont val="Arial"/>
        <family val="2"/>
        <scheme val="minor"/>
      </rPr>
      <t xml:space="preserve">Analyse – Risiko
</t>
    </r>
    <r>
      <rPr>
        <sz val="8"/>
        <color rgb="FF000000"/>
        <rFont val="Arial"/>
        <family val="2"/>
        <scheme val="minor"/>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(direkte/indirekte Analyse)
– Limitierungen durch Hardware bei Training und Inferenz
– Auswirkung einer Änderung der Zusammensetzung des KI-Systems 
(Soft- und Hardwareebene), insbesondere Risiken durch Neutraining 
oder Online-Learning</t>
    </r>
  </si>
  <si>
    <r>
      <rPr>
        <b/>
        <sz val="8"/>
        <color rgb="FF000000"/>
        <rFont val="Arial"/>
        <family val="2"/>
        <scheme val="minor"/>
      </rPr>
      <t xml:space="preserve">Analyse – Risiko
</t>
    </r>
    <r>
      <rPr>
        <sz val="8"/>
        <color rgb="FF000000"/>
        <rFont val="Arial"/>
        <family val="2"/>
        <scheme val="minor"/>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und Hardwareebene), insbesondere Risiken durch Neutraining 
oder Online-Learning</t>
    </r>
  </si>
  <si>
    <r>
      <rPr>
        <b/>
        <sz val="8"/>
        <color rgb="FF000000"/>
        <rFont val="Arial"/>
        <family val="2"/>
        <scheme val="minor"/>
      </rPr>
      <t xml:space="preserve">Analyse – Risiko
</t>
    </r>
    <r>
      <rPr>
        <sz val="8"/>
        <color rgb="FF000000"/>
        <rFont val="Arial"/>
        <family val="2"/>
        <scheme val="minor"/>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 und Hardwareebene), insbesondere Risiken durch Neutraining 
oder Online-Learning</t>
    </r>
  </si>
  <si>
    <t>Es wurde keine Risikoanalyse oder Gefährdungsabschätzung durchgeführt.</t>
  </si>
  <si>
    <t>Bei Verwendung von Modellen 
externer Anbieter Dokumentationen
und klare Begründungen zur Validierung bereitstellen.
Im Gegensatz zu VE2.1 geht es hier
nicht um die Risiken die aus einem
KI-System mit unzureichender Leistungsfähigkeit entstehen, sondern 
um die Risiken die zu unzureichender Leistungsfähigkeit selber führen und
damit den Verwendungszweck gefährden können. 
Risiko = Gefährdung x Wahrscheinlichkeit des Eintritts.</t>
  </si>
  <si>
    <t>TR1.1, TR1.3</t>
  </si>
  <si>
    <t>Es müssen geeignete Metriken und Tests definiert werden, um zu bewerten, ob die Leistung des 
KI-Systems die beabsichtigte Funktionsweise
realisiert.</t>
  </si>
  <si>
    <t xml:space="preserve">Es wurden systematisch keine Metriken
oder Tests festgelegt, die zur Untersuchung 
der Leistungsfähigkeit des Systems dienen. </t>
  </si>
  <si>
    <t>Bei Verwendung von Modellen externer Anbieter Dokumentationen und klare Begründungen zur Validierung bereitstellen.
Die beabsichtigte Funktionsweise sollte 
sich aus dem Verwendungszweck und Anwendungsbereich ergeben.
Unterscheidung zwischen Basismethoden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</si>
  <si>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t>
  </si>
  <si>
    <t>Es müssen geeignete Metriken und Tests  
definiert werden, um zu bewerten, ob die 
Robustheit des KI-Systems die beabsichtigte Funktionsweise realisiert.</t>
  </si>
  <si>
    <r>
      <rPr>
        <b/>
        <sz val="8"/>
        <color theme="1"/>
        <rFont val="Arial"/>
        <family val="2"/>
        <scheme val="minor"/>
      </rPr>
      <t xml:space="preserve">Analyse – Metriken / Schwellenwerte [Robustheit]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Nutzerexperimenten oder Befragungen
– abhängig vom KI-Modell gewählte passende Methoden zur Unsicherheits-
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möglichst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</si>
  <si>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 Detektion von fehlerhaften Eingaben oder Fehlfunktionen auf Modellebene
Die ausgewählten Metriken und Tests sollten möglichst die folgenden Merkmale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t>
    </r>
    <r>
      <rPr>
        <strike/>
        <sz val="8"/>
        <color theme="1"/>
        <rFont val="Arial"/>
        <family val="2"/>
        <scheme val="minor"/>
      </rPr>
      <t xml:space="preserve">
</t>
    </r>
    <r>
      <rPr>
        <sz val="8"/>
        <color theme="1"/>
        <rFont val="Arial"/>
        <family val="2"/>
        <scheme val="minor"/>
      </rPr>
      <t xml:space="preserve">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r>
      <rPr>
        <strike/>
        <sz val="8"/>
        <color theme="1"/>
        <rFont val="Arial"/>
        <family val="2"/>
        <scheme val="minor"/>
      </rPr>
      <t xml:space="preserve">
</t>
    </r>
    <r>
      <rPr>
        <sz val="8"/>
        <color theme="1"/>
        <rFont val="Arial"/>
        <family val="2"/>
        <scheme val="minor"/>
      </rPr>
      <t xml:space="preserve">
</t>
    </r>
  </si>
  <si>
    <t xml:space="preserve">Es wurden systematisch keine Metriken 
oder Tests festgelegt, die zur Untersuchung 
der Robustheit des Systems dienen. </t>
  </si>
  <si>
    <t>Die beabsichtigte Funktionsweise sollte
sich aus dem Verwendungszweck und Anwendungsbereich ergeben.
Die Begründung der Metriken geht auf
zum Beispiel auf folgende Aspekte ein: 
– Anwendungsbereich, Zweck des
KI-Systems, 
– Modelltyp, 
– Zusammensetzung des KI-Systems
(d.h., Zusammenspiel der Komponenten bzw. Zusammenhang von ML-Modell und Gesamtsystem), – ML-Task (Classification/Regression/Generation/
Unsupervised (z.B. Clustering,  Anomaly Detection…)/Reinforcement Learning etc.)
Für die statistische Auswertung: falls vorhanden auf etablierten Benchmark-Datensätzen, z.B. mit passenden Augmentierungen zur Abdeckung von Robustheitstests 
Unterscheidung zwischen Basis-
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</si>
  <si>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 
CY2.2, 
CY2.3 (Tests und 
Mitigationen zur Robustheit gegen Angriffe)</t>
  </si>
  <si>
    <t>Es muss ein Testplan entwickelt und 
implementiert sein, der das Prüfen aller 
vorgesehenen Metriken und Tests umfasst, 
einschließlich einer Prüfung des KI-Systems 
unter repräsentativen Bedingungen des Anwendungsbereiches.</t>
  </si>
  <si>
    <r>
      <rPr>
        <b/>
        <sz val="8"/>
        <color theme="1"/>
        <rFont val="Arial"/>
        <family val="2"/>
        <scheme val="minor"/>
      </rPr>
      <t xml:space="preserve">Orga. Maßnahmen – Systemnahe Prozesse
</t>
    </r>
    <r>
      <rPr>
        <sz val="8"/>
        <color theme="1"/>
        <rFont val="Arial"/>
        <family val="2"/>
        <scheme val="minor"/>
      </rPr>
      <t>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
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repräsentativen Bedingungen des Anwendungsbereichs erlauben, mit einer hohen Nähe zur späteren Produktivumgebung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
daten, siehe VE1.6
– Beachtung der Auswirkung möglicher signifikanter Änderungen des KI-System
 in Robustheitstests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mit einer Argumentation,
dass der Testplan alle wichtigen Aspekte der Leistungsfähigkeit und Robustheit
(bzgl. aller notwendigen, repräsentativen Szenarien) abdeckt.</t>
    </r>
  </si>
  <si>
    <r>
      <rPr>
        <b/>
        <sz val="8"/>
        <color theme="1"/>
        <rFont val="Arial"/>
        <family val="2"/>
        <scheme val="minor"/>
      </rPr>
      <t xml:space="preserve">Orga. Maßnahmen – Systemnahe Prozesse
</t>
    </r>
    <r>
      <rPr>
        <sz val="8"/>
        <color theme="1"/>
        <rFont val="Arial"/>
        <family val="2"/>
        <scheme val="minor"/>
      </rPr>
      <t xml:space="preserve">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
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möglichst 
repräsentativen Bedingungen des Anwendungsbereichs erlauben, aber nicht 
unbedingt die endgültige Produktivumgebung genau widerspiegeln
– Zeitpunkt bzw. Regelmäßigkeit der Tests, einschließlich Vorbereitung von
Testplänen für eine zukünftige Betriebsphase des KI-Systems, um die Leistungs-
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t>
    </r>
  </si>
  <si>
    <r>
      <rPr>
        <b/>
        <sz val="8"/>
        <color theme="1"/>
        <rFont val="Arial"/>
        <family val="2"/>
        <scheme val="minor"/>
      </rPr>
      <t xml:space="preserve">Orga. Maßnahmen – Systemnahe Prozesse
</t>
    </r>
    <r>
      <rPr>
        <sz val="8"/>
        <color theme="1"/>
        <rFont val="Arial"/>
        <family val="2"/>
        <scheme val="minor"/>
      </rPr>
      <t xml:space="preserve">Dokumentierter Testplan für Leistungsfähigkeit und Robustheit, 
der mindestens die folgenden Punkte definiert (z.B. tabellarisch): 
– Testobjekte müssen definiert werden (d.h., zu testendes Modell (mit Versions-
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Die Eigenschaften der Testmethoden müssen klar und im Detail festgehalten 
sein hinsichtlich Komplexität und Informationsgehalt 
– ggf. müssen zusätzliche Vorgaben zu den Testparametern festgelegt werden
– Verwendeten Testdaten müssen beschrieben werden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t>
    </r>
    <r>
      <rPr>
        <strike/>
        <sz val="8"/>
        <color theme="1"/>
        <rFont val="Arial"/>
        <family val="2"/>
        <scheme val="minor"/>
      </rPr>
      <t xml:space="preserve">
</t>
    </r>
  </si>
  <si>
    <t>Es wurden keine systematischen Testpläne definiert.</t>
  </si>
  <si>
    <t>Die Einteilung der Metriken und 
Methoden in einfach bis fortgeschritten hängt von vielen Details ab, aber orientiert sich grob and Komplexität und erwarteten Informationsgehalt (z.B. einfach Metrik, Benchmark, bis hin zu Expertengetriebene Validierungsansätze wie etwa systematische Schwachstellensuche, visuelle Exploration, Anwendung von 
XAI-Methoden, etc.)
Der Grad der Automatisierung der Tests, wenn möglich sollten automatisierbare Methoden bevorzugt eingesetzt werden.</t>
  </si>
  <si>
    <t>TR1.6 (Entwicklungs-prozessdokumentation)</t>
  </si>
  <si>
    <t>Das KI-System muss gemäß dem Testplan mit unterschiedlichen Eingaben, Bedingungen und Umgebungen getestet werden, um seine Leistungsfähigkeit und Robustheit sicherzustellen.</t>
  </si>
  <si>
    <r>
      <rPr>
        <b/>
        <sz val="8"/>
        <color rgb="FF000000"/>
        <rFont val="Arial"/>
        <family val="2"/>
        <scheme val="minor"/>
      </rPr>
      <t xml:space="preserve">Tech. Maßnahme – Tests
</t>
    </r>
    <r>
      <rPr>
        <sz val="8"/>
        <color rgb="FF000000"/>
        <rFont val="Arial"/>
        <family val="2"/>
        <scheme val="minor"/>
      </rPr>
      <t>– Formelle Beschreibung des Anwendungsbereichs als Eingabe 
für Testmethoden</t>
    </r>
    <r>
      <rPr>
        <i/>
        <sz val="8"/>
        <color rgb="FF000000"/>
        <rFont val="Arial"/>
        <family val="2"/>
        <scheme val="minor"/>
      </rPr>
      <t xml:space="preserve"> </t>
    </r>
    <r>
      <rPr>
        <sz val="8"/>
        <color rgb="FF000000"/>
        <rFont val="Arial"/>
        <family val="2"/>
        <scheme val="minor"/>
      </rPr>
      <t>(Eingaberaum, Anwendungsbereich mit Verteilung, Anwendungsgrenze, ggfls. Beschreibung einer ODD)
– Durchführung des Tests entlang des Testplans</t>
    </r>
    <r>
      <rPr>
        <i/>
        <sz val="8"/>
        <color rgb="FF000000"/>
        <rFont val="Arial"/>
        <family val="2"/>
        <scheme val="minor"/>
      </rPr>
      <t xml:space="preserve"> </t>
    </r>
    <r>
      <rPr>
        <sz val="8"/>
        <color rgb="FF000000"/>
        <rFont val="Arial"/>
        <family val="2"/>
        <scheme val="minor"/>
      </rPr>
      <t xml:space="preserve">und Dokumentation 
aller Testergebnisse
</t>
    </r>
  </si>
  <si>
    <t>Es wurden keine dokumentierten Tests durchgeführt.</t>
  </si>
  <si>
    <t>Für die technische Details zur Beschreibung von Anwendungs-bereichen siehe z.B. der Fraunhofer 
KI-Prüfkatalog z.B. [VE-R-RE-RI-01]
[VE-R-RE-KR-02], [VE-R-RO-RI-01], 
[VE-R-RO- KR-01], [VE-R-RO-KR-03] 
und generell die Testmaßnahmen im Kapitel Verlässlichkeit.</t>
  </si>
  <si>
    <t>Ein Monitoring der Leistungsfähigkeit 
und Robustheit des KI-Systems muss 
möglich sein.</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</si>
  <si>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</si>
  <si>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 xml:space="preserve">Rückfallpläne und funktionale Sicherheit </t>
  </si>
  <si>
    <r>
      <rPr>
        <sz val="8"/>
        <color rgb="FF000000"/>
        <rFont val="Arial"/>
        <family val="2"/>
        <scheme val="minor"/>
      </rPr>
      <t>Risiken für mögliche Folgen einer Fehlfunktion 
oder eines Ausfalls und für die funktionale 
Sicherheit des KI-System müssen unter 
Beachtung des Verwendungszwecks 
analysiert werden.</t>
    </r>
    <r>
      <rPr>
        <sz val="8"/>
        <color rgb="FFFF0000"/>
        <rFont val="Arial"/>
        <family val="2"/>
        <scheme val="minor"/>
      </rPr>
      <t xml:space="preserve">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</si>
  <si>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</si>
  <si>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</si>
  <si>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rial"/>
        <family val="2"/>
        <scheme val="minor"/>
      </rPr>
      <t xml:space="preserve">Analyse – Risiko
</t>
    </r>
    <r>
      <rPr>
        <sz val="8"/>
        <color theme="1"/>
        <rFont val="Arial"/>
        <family val="2"/>
        <scheme val="minor"/>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Hauptsächlich qualitative Abschätzung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</si>
  <si>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t>Hier kann zusätzlich auf die Schutz-bedarfsanalyse hingewiesen werden. 
Es sollte aber beachtet werden, dass hier nicht eine Risikoanalyse vollständig vom Prüfenden durchgeführt werden soll 
sondern die Existenz einer solchen und deren Umfang bewertet werden soll.
Hier wäre es möglich auf gängige 
Standards, z.B. zu funktionalen Sicherheit und Safety hinzuweisen so wie ISO/IEC Guide 51 und das Durchführen einer 
FMEA (die falls vorhanden hier eigentlich angerechnet werden sollte)
Mehr Details können im KI-Prüfkatalog des Fraunhofer IAIS Kapitel 8 gefunden werden.
Klassische Referenz zu funktionaler 
KI-Sicherheit Amodei 2006.</t>
  </si>
  <si>
    <t>Es müssen geeignete technische Maßnahmen 
im Betrieb des KI-Systems zur Mitigation des
Risikos einer Fehlfunktion oder eines Ausfalls
des KI-System definiert werden.</t>
  </si>
  <si>
    <r>
      <rPr>
        <b/>
        <sz val="8"/>
        <color rgb="FF000000"/>
        <rFont val="Arial"/>
        <family val="2"/>
        <scheme val="minor"/>
      </rPr>
      <t xml:space="preserve">Techn. Maßnahme – Betrieb
</t>
    </r>
    <r>
      <rPr>
        <sz val="8"/>
        <color rgb="FF000000"/>
        <rFont val="Arial"/>
        <family val="2"/>
        <scheme val="minor"/>
      </rPr>
      <t>–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
fall- und Ausfallsystemen sollten sichergestellt sein um das Monitoring von 
KI-Komponenten mit denen eines größeren IT-Systems verbinden zu können
– Schnittstellen für ein Alarmsystem sollten geplant sein (Endbenutzer, Anbieter, zuständige Behörde), 
– Ausfallsicheres Logging eines unter Betrieb befindlichen Produkts muss unterstützbar sein durch das KI-System (z.B. Blackbox), siehe auch nach TR1.7
– Interventionsmaßnahmen ("incident response") zur Fehlerbehebung und
 eine Systemwiederherstellung aus dem Betrieb sollte möglich sein</t>
    </r>
  </si>
  <si>
    <r>
      <rPr>
        <b/>
        <sz val="8"/>
        <color rgb="FF000000"/>
        <rFont val="Arial"/>
        <family val="2"/>
        <scheme val="minor"/>
      </rPr>
      <t xml:space="preserve">Techn. Maßnahme – Betrieb
</t>
    </r>
    <r>
      <rPr>
        <sz val="8"/>
        <color rgb="FF000000"/>
        <rFont val="Arial"/>
        <family val="2"/>
        <scheme val="minor"/>
      </rPr>
      <t xml:space="preserve">–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Rückfall- und Ausfallsystemen sollten sichergestellt sein um das Monitoring 
von KI-Komponenten mit denen eines größeren IT-Systems verbinden 
zu können, siehe auch nach TR1.7
</t>
    </r>
    <r>
      <rPr>
        <b/>
        <sz val="8"/>
        <color rgb="FF000000"/>
        <rFont val="Arial"/>
        <family val="2"/>
        <scheme val="minor"/>
      </rPr>
      <t xml:space="preserve">
</t>
    </r>
  </si>
  <si>
    <r>
      <rPr>
        <b/>
        <sz val="8"/>
        <color rgb="FF000000"/>
        <rFont val="Arial"/>
        <family val="2"/>
        <scheme val="minor"/>
      </rPr>
      <t xml:space="preserve">Techn. Maßnahme – Betrieb
</t>
    </r>
    <r>
      <rPr>
        <sz val="8"/>
        <color rgb="FF000000"/>
        <rFont val="Arial"/>
        <family val="2"/>
        <scheme val="minor"/>
      </rPr>
      <t xml:space="preserve">– Mechanismen für den sicheren Ausfall sollten geplant und wenn möglich
schon implementiert sein (z.B. Manipulationsschutz, sicherer Modus), 
</t>
    </r>
    <r>
      <rPr>
        <strike/>
        <sz val="8"/>
        <color rgb="FF000000"/>
        <rFont val="Arial"/>
        <family val="2"/>
        <scheme val="minor"/>
      </rPr>
      <t xml:space="preserve">
</t>
    </r>
    <r>
      <rPr>
        <b/>
        <sz val="8"/>
        <color rgb="FF000000"/>
        <rFont val="Arial"/>
        <family val="2"/>
        <scheme val="minor"/>
      </rPr>
      <t xml:space="preserve">
</t>
    </r>
  </si>
  <si>
    <t>Es wurden keine Maßnahmen ergriffen, 
es zu ermöglichen im Betrieb das Risiko 
von Fehlfunktionen und Ausfall zu mitigieren.</t>
  </si>
  <si>
    <t>MA2.3 (Monitoring), TR1.7(Logging), 
CY2.2, CY2.3 
(Maßnahmen zur Mitigation 
von Angriffen auf das System)</t>
  </si>
  <si>
    <t>Es müssen geeignete technische Maßnahmen
in Form von Metriken und Tests  zur Mitigation 
des Risikos einer Fehlfunktion oder eines Ausfalls 
des KI-System definiert werden.</t>
  </si>
  <si>
    <r>
      <rPr>
        <b/>
        <sz val="8"/>
        <color theme="1"/>
        <rFont val="Arial"/>
        <family val="2"/>
        <scheme val="minor"/>
      </rPr>
      <t xml:space="preserve">Techn. Maßnahmen – Metriken &amp; Schwellenwerte
</t>
    </r>
    <r>
      <rPr>
        <sz val="8"/>
        <color theme="1"/>
        <rFont val="Arial"/>
        <family val="2"/>
        <scheme val="minor"/>
      </rPr>
      <t xml:space="preserve">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Unsicherheitsbestimmungen (z.B. Konfidenzwerte)
– Detektionsmethoden und Abfangen von Fehlern in Checks auf Daten, Modellebene 
oder auf den Ausgaben einschließlich sinnvoller Schwellenwerte. 
– Detektionsmethoden und Abfangen von Fehlern in Checks auf Systemebene einschließlich nicht KI-spezifischer Maßnahmen und sinnvoller Schwellenwerte
Die ausgewählten Metriken und Tests sollten mindestens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
</t>
    </r>
  </si>
  <si>
    <r>
      <rPr>
        <b/>
        <sz val="8"/>
        <color theme="1"/>
        <rFont val="Arial"/>
        <family val="2"/>
        <scheme val="minor"/>
      </rPr>
      <t xml:space="preserve">Techn. Maßnahmen – Metriken &amp; Schwellenwerte
</t>
    </r>
    <r>
      <rPr>
        <sz val="8"/>
        <color theme="1"/>
        <rFont val="Arial"/>
        <family val="2"/>
        <scheme val="minor"/>
      </rPr>
      <t>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t>
    </r>
  </si>
  <si>
    <t>Es wurden keine technischen Methoden 
oder Metriken implementiert um das Risiko 
von Fehlfunktionen und Ausfall zu mitigieren.</t>
  </si>
  <si>
    <t>Unterscheidung zwischen Basis-methoden und fortgeschrittene 
Methoden: 
– In der Prüfmethodensammlung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</si>
  <si>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Es müssen geeignete organisatorische 
Maßnahmen zur Mitigation des Risikos einer Fehlfunktion oder eines Ausfalls des KI-System definiert werden.</t>
  </si>
  <si>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 oder</t>
    </r>
    <r>
      <rPr>
        <b/>
        <sz val="8"/>
        <color rgb="FF000000"/>
        <rFont val="Arial"/>
        <family val="2"/>
        <scheme val="minor"/>
      </rPr>
      <t xml:space="preserve">, </t>
    </r>
    <r>
      <rPr>
        <sz val="8"/>
        <color rgb="FF000000"/>
        <rFont val="Arial"/>
        <family val="2"/>
        <scheme val="minor"/>
      </rPr>
      <t>wo möglich, Einbindung von</t>
    </r>
    <r>
      <rPr>
        <b/>
        <sz val="8"/>
        <color rgb="FF000000"/>
        <rFont val="Arial"/>
        <family val="2"/>
        <scheme val="minor"/>
      </rPr>
      <t xml:space="preserve"> </t>
    </r>
    <r>
      <rPr>
        <sz val="8"/>
        <color rgb="FF000000"/>
        <rFont val="Arial"/>
        <family val="2"/>
        <scheme val="minor"/>
      </rPr>
      <t>organisatorischen oder technischen Maßnahmen zur Mitigation von Fehlern in ein Management 
System, insbesondere hinsichtlich menschlich bedingter systematischer 
Fehler und fehlerhafter Handlungen während des Lebenszyklus</t>
    </r>
    <r>
      <rPr>
        <strike/>
        <sz val="8"/>
        <color rgb="FFC00000"/>
        <rFont val="Arial"/>
        <family val="2"/>
        <scheme val="minor"/>
      </rPr>
      <t xml:space="preserve">
</t>
    </r>
    <r>
      <rPr>
        <sz val="8"/>
        <color rgb="FF000000"/>
        <rFont val="Arial"/>
        <family val="2"/>
        <scheme val="minor"/>
      </rPr>
      <t xml:space="preserve">– Planung von Maßnahmen zur Mitigation der Auswirkung zweiter Ordnung 
auf Stakeholder, einschließlich Kommunikation
– Einrichtung eines Incident Response Kanals für zukünftige Kunden, über 
den sofort (ohne schuldhafte Verzögerung) weitere Mitigationsmaßnahmen 
ergriffen werden können.
– die Mitigationsmaßnahmen sollten Teil einer definierten Strategie sein, 
die in ein fortlaufendes Governancesystem zum Management von Sicherheits-
risiken eingebunden werden kann
</t>
    </r>
  </si>
  <si>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 oder</t>
    </r>
    <r>
      <rPr>
        <b/>
        <sz val="8"/>
        <color rgb="FF000000"/>
        <rFont val="Arial"/>
        <family val="2"/>
        <scheme val="minor"/>
      </rPr>
      <t xml:space="preserve">, </t>
    </r>
    <r>
      <rPr>
        <sz val="8"/>
        <color rgb="FF000000"/>
        <rFont val="Arial"/>
        <family val="2"/>
        <scheme val="minor"/>
      </rPr>
      <t>wo möglich, Einbindung von</t>
    </r>
    <r>
      <rPr>
        <b/>
        <sz val="8"/>
        <color rgb="FF000000"/>
        <rFont val="Arial"/>
        <family val="2"/>
        <scheme val="minor"/>
      </rPr>
      <t xml:space="preserve"> </t>
    </r>
    <r>
      <rPr>
        <sz val="8"/>
        <color rgb="FF000000"/>
        <rFont val="Arial"/>
        <family val="2"/>
        <scheme val="minor"/>
      </rPr>
      <t xml:space="preserve">organisatorischen oder technischen Maßnahmen zur Mitigation von Fehlern in ein Management 
System, insbesondere hinsichtlich menschlich bedingter systematischer 
Fehler fehlerhafter Handlungen während des Lebenszyklus
– die Mitigationsmaßnahmen sollten Teil einer definierten Strategie sein, die in 
ein fortlaufendes Governancesystem zum Management von Sicherheitsrisiken eingebunden werden kann
</t>
    </r>
  </si>
  <si>
    <r>
      <rPr>
        <b/>
        <sz val="8"/>
        <color rgb="FF000000"/>
        <rFont val="Arial"/>
        <family val="2"/>
        <scheme val="minor"/>
      </rPr>
      <t xml:space="preserve">Orga. Maßnahmen – Governance
</t>
    </r>
    <r>
      <rPr>
        <sz val="8"/>
        <color rgb="FF000000"/>
        <rFont val="Arial"/>
        <family val="2"/>
        <scheme val="minor"/>
      </rPr>
      <t>–</t>
    </r>
    <r>
      <rPr>
        <b/>
        <sz val="8"/>
        <color rgb="FF000000"/>
        <rFont val="Arial"/>
        <family val="2"/>
        <scheme val="minor"/>
      </rPr>
      <t xml:space="preserve"> </t>
    </r>
    <r>
      <rPr>
        <sz val="8"/>
        <color rgb="FF000000"/>
        <rFont val="Arial"/>
        <family val="2"/>
        <scheme val="minor"/>
      </rPr>
      <t>Planung  von</t>
    </r>
    <r>
      <rPr>
        <b/>
        <sz val="8"/>
        <color rgb="FF000000"/>
        <rFont val="Arial"/>
        <family val="2"/>
        <scheme val="minor"/>
      </rPr>
      <t xml:space="preserve"> </t>
    </r>
    <r>
      <rPr>
        <sz val="8"/>
        <color rgb="FF000000"/>
        <rFont val="Arial"/>
        <family val="2"/>
        <scheme val="minor"/>
      </rPr>
      <t xml:space="preserve">organisatorischen oder technischen Maßnahmen
zur Mitigation zufälliger Fehler in ein Management System, insbesondere hinsichtlich menschlich bedingter systematischer Fehler und fehlerhafter Handlungen während des Lebenszyklus
</t>
    </r>
    <r>
      <rPr>
        <strike/>
        <sz val="8"/>
        <color rgb="FF000000"/>
        <rFont val="Arial"/>
        <family val="2"/>
        <scheme val="minor"/>
      </rPr>
      <t xml:space="preserve">
</t>
    </r>
  </si>
  <si>
    <t>Es wurden keine organisatorischen 
Methoden vorgesehen, um das Risiko von Fehlfunktionen und Ausfall zu mitigieren.</t>
  </si>
  <si>
    <t>Im Rahmen der beabsichtigen Funktionsweise
und unter Berücksichtigung des Anwendungs-bereichs müssen die definierten Maßnahmen 
vor dem Betrieb getestet werden.</t>
  </si>
  <si>
    <t>Es wurden keine Test der technischen Maßnahmen durchgeführt.</t>
  </si>
  <si>
    <r>
      <rPr>
        <b/>
        <sz val="8"/>
        <color theme="1"/>
        <rFont val="Arial"/>
        <family val="2"/>
        <scheme val="minor"/>
      </rPr>
      <t>Bewertung</t>
    </r>
    <r>
      <rPr>
        <sz val="8"/>
        <color theme="1"/>
        <rFont val="Arial"/>
        <family val="2"/>
        <scheme val="minor"/>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</si>
  <si>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rial"/>
        <family val="2"/>
        <scheme val="minor"/>
      </rPr>
      <t>Bewertung</t>
    </r>
    <r>
      <rPr>
        <sz val="8"/>
        <color theme="1"/>
        <rFont val="Arial"/>
        <family val="2"/>
        <scheme val="minor"/>
      </rPr>
      <t xml:space="preserve">
– Einschätzung durch eine qualifizierte und autorisierte Person,
ob das Restrisiko tolerierbar ist
– Begründung der Tolerierbarkeit des Restrisikos</t>
    </r>
  </si>
  <si>
    <t>Auswahlmöglicheiten</t>
  </si>
  <si>
    <t>System oder Komponente</t>
  </si>
  <si>
    <t>Typisierung</t>
  </si>
  <si>
    <t>Anwendbarkeit</t>
  </si>
  <si>
    <t>Stufe</t>
  </si>
  <si>
    <t>Ja</t>
  </si>
  <si>
    <t>Nein</t>
  </si>
  <si>
    <t>N/A</t>
  </si>
  <si>
    <r>
      <rPr>
        <sz val="8"/>
        <color rgb="FF000000"/>
        <rFont val="Arial"/>
        <family val="2"/>
        <scheme val="minor"/>
      </rPr>
      <t>Es müssen Maßnahmen und Sicherheitskontrollen vorhanden sein, um fehlerhafte Nutzung oder Missbrauch des KI-Systems zu verhindern</t>
    </r>
    <r>
      <rPr>
        <sz val="8"/>
        <color rgb="FFFF0000"/>
        <rFont val="Arial"/>
        <family val="2"/>
        <scheme val="minor"/>
      </rPr>
      <t>.</t>
    </r>
  </si>
  <si>
    <t>Siehe: CY2.3</t>
  </si>
  <si>
    <r>
      <rPr>
        <sz val="8"/>
        <rFont val="Arial"/>
        <family val="2"/>
        <scheme val="minor"/>
      </rPr>
      <t xml:space="preserve">Siehe: </t>
    </r>
    <r>
      <rPr>
        <sz val="8"/>
        <color theme="1"/>
        <rFont val="Arial"/>
        <family val="2"/>
        <scheme val="minor"/>
      </rPr>
      <t>CY2.2</t>
    </r>
  </si>
  <si>
    <t>Siehe: CY1.4</t>
  </si>
  <si>
    <t>Es muss für betroffene Personen und Nutzer
möglich sein, ihre mit personenbezogenen 
Daten einhergehenden Rechte zu Datenverwaltung,
-löschung  und -benutzung sowie Informations-
pflichten auch im Betrieb des KI-Systems wahrzunehmen.</t>
  </si>
  <si>
    <t>Siehe: MA1.4</t>
  </si>
  <si>
    <t>Siehe: MA2.3</t>
  </si>
  <si>
    <r>
      <t xml:space="preserve">Orga. Maßnahmen – Schulung
</t>
    </r>
    <r>
      <rPr>
        <sz val="8"/>
        <color theme="1"/>
        <rFont val="Arial"/>
        <family val="2"/>
        <scheme val="minor"/>
      </rPr>
      <t>Ein zielgruppenorientiertes Schulungsprogramm wird für alle mit der Entwicklung 
des KI-Systems betrauten internen und externen Mitarbeiter betrieben. 
Dieses Programm umfasst mindestens die folgenden Aspekte:
– Vermittlung der Zweckbestimmung des KI-Systems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
lichen und regulatorischen Anforderungen
– Anforderungen an die Durchführung von Trainings, Validierungen und Tests
der KI-Modells im Kontext von Verzerrungen, Fairness und Diskriminierung
Das Programm wird regelmäßig basierend auf den gewonnenen Erkenntnissen, Änderungen der Richtlinien aktualisiert. Die verwendeten Inhalte und die Teilnahme 
am Programm werden dokumentiert.</t>
    </r>
  </si>
  <si>
    <t>Siehe: DA1.1</t>
  </si>
  <si>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Rückverfolgung der Data-Lineage
</t>
    </r>
    <r>
      <rPr>
        <b/>
        <sz val="8"/>
        <color rgb="FF000000"/>
        <rFont val="Arial"/>
        <family val="2"/>
        <scheme val="minor"/>
      </rPr>
      <t xml:space="preserve">Tech. Maßnahmen – Modell
</t>
    </r>
    <r>
      <rPr>
        <sz val="8"/>
        <color rgb="FF000000"/>
        <rFont val="Arial"/>
        <family val="2"/>
        <scheme val="minor"/>
      </rPr>
      <t xml:space="preserve">Die Dokumentation zum Entwurfs- und Entwicklungsprozess umfasst: 
– Ein System zur Versionsverwaltung und Nachverfolgung von Änderungen
an den KI-Modellen und Aufzeichnung der Trainings und der jeweils eingesetzten
Daten
</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</si>
  <si>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Tech. Maßnahmen – Benutzerinstruktionen
</t>
    </r>
    <r>
      <rPr>
        <sz val="8"/>
        <color rgb="FF000000"/>
        <rFont val="Arial"/>
        <family val="2"/>
        <scheme val="minor"/>
      </rPr>
      <t xml:space="preserve">Das KI-System muss für den nichtfachkundigen Nutzer die notwendigen 
Informationen zur Nachvollziehung von Modellausgaben liefern. Hierzu ist 
eine Benutzeroberfläche verfügbar, die folgende Aspekte enthält:
– Beschreibung der verwendeten Methoden um Systemausgaben verständlich 
zu machen
– Erläuterung der erzeugten Erklärung
– Anforderungen an die Nutzer (z.B. informatische Kenntnisse), 
um diese prinzipiell verstehen zu können. 
</t>
    </r>
    <r>
      <rPr>
        <b/>
        <sz val="8"/>
        <color rgb="FF000000"/>
        <rFont val="Arial"/>
        <family val="2"/>
        <scheme val="minor"/>
      </rPr>
      <t xml:space="preserve">
Orga. Maßnahmen – Schulungen
</t>
    </r>
    <r>
      <rPr>
        <sz val="8"/>
        <color rgb="FF000000"/>
        <rFont val="Arial"/>
        <family val="2"/>
        <scheme val="minor"/>
      </rPr>
      <t>Zur Qualifikation und Schulung des Personals, welches mit dem Betrieb und 
der Aufsicht des KI-Systems betraut ist bzw. menschlicher Endnutzer, sind zielgruppenorientierte Schulungen vorbereitet worden. Diese Schulungen legen 
einen Fokus auf die Interpretation von Ergebnissen des KI-Systems und möglicher Funktionen, die die Erklärbarkeit der Ergebnisse unterstützen. Dabei sind mindestens folgende Aspekte abgedeckt:
– Relevanz und Nutzen der Erklärbarkeit des KI-Systems im Einsatzkontext
– Eingesetzte Methoden und Werkzeuge zur Erklärbarkeit
– Übung der Anwendung der Methoden und Werkzeuge zur Erklärung</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</si>
  <si>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
Orga. Maßnahmen – Benutzerinstruktionen
</t>
    </r>
    <r>
      <rPr>
        <sz val="8"/>
        <color rgb="FF000000"/>
        <rFont val="Arial"/>
        <family val="2"/>
        <scheme val="minor"/>
      </rPr>
      <t>Das KI-System muss für den nichtfachkundigen Nutzer die notwendigen
Informationen zur Nachvollziehung von Modellausgaben liefern. Hierzu sind
folgende Informationen zu liefern:
– Beschreibung der verwendeten Methoden um Systemausgaben verständlich 
zu machen
– Erläuterung der erzeugten Erklärung
– Anforderungen an die Nutzer (z.B. informatische Kenntnisse), 
um diese prinzipiell verstehen zu können. 
Benutzerinstruktionen können inhaltlich auch gänzlich über Schulungen 
abgedeckt werden.</t>
    </r>
  </si>
  <si>
    <r>
      <rPr>
        <b/>
        <sz val="8"/>
        <color rgb="FF000000"/>
        <rFont val="Arial"/>
        <family val="2"/>
        <scheme val="minor"/>
      </rPr>
      <t xml:space="preserve">Tech. Maßnahmen – Modell
</t>
    </r>
    <r>
      <rPr>
        <sz val="8"/>
        <color rgb="FF000000"/>
        <rFont val="Arial"/>
        <family val="2"/>
        <scheme val="minor"/>
      </rPr>
      <t xml:space="preserve">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rial"/>
        <family val="2"/>
        <scheme val="minor"/>
      </rPr>
      <t xml:space="preserve">
Orga. Maßnahmen – Benutzerinstruktionen
</t>
    </r>
    <r>
      <rPr>
        <sz val="8"/>
        <color rgb="FF000000"/>
        <rFont val="Arial"/>
        <family val="2"/>
        <scheme val="minor"/>
      </rPr>
      <t>Das KI-System muss für den nichtfachkundigen Nutzer die notwendigen 
Informationen zur Nachvollziehung von Modellausgaben liefern. Hierzu sind
folgende Informationen zu liefern:
– Beschreibung der verwendeten Methoden um Systemausgaben verständlich
zu machen
– Anforderungen an die Nutzer (z.B. informatische Kenntnisse),
um diese prinzipiell verstehen zu können. 
Benutzerinstruktionen können inhaltlich auch gänzlich über Schulungen
abgedeckt werden.</t>
    </r>
  </si>
  <si>
    <t>Es werden keine Hinweise oder Benachrichtigungen an Nutzer oder 
betroffene Personen ausgespielt</t>
  </si>
  <si>
    <t>Siehe: MA1.1</t>
  </si>
  <si>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
experimenten oder Befragungen
– abhängig vom KI-Modell gewählte passende Methoden zur Unsicherheits-
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</si>
  <si>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
experimenten oder Befragungen
– abhängig vom KI-Modell gewählte passende Methoden zur Unsicherheits-
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</si>
  <si>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Analyse – Metriken / Schwellenwerte  [Leistungsfähigkeit]  
</t>
    </r>
    <r>
      <rPr>
        <sz val="8"/>
        <color theme="1"/>
        <rFont val="Arial"/>
        <family val="2"/>
        <scheme val="minor"/>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Die ausgewählten Metriken und Tests sollten möglichst die folgenden Merkmale 
und Rahmenbedingungen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Die Begründung der Metriken, Tests und Methoden geht auf mindestens einen 
der folgenden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</si>
  <si>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rial"/>
        <family val="2"/>
        <scheme val="minor"/>
      </rPr>
      <t xml:space="preserve">Tech. Maßnahme – Tests
</t>
    </r>
    <r>
      <rPr>
        <sz val="8"/>
        <color theme="1"/>
        <rFont val="Arial"/>
        <family val="2"/>
        <scheme val="minor"/>
      </rPr>
      <t>– Formelle Beschreibung des Anwendungsbereichs als Eingabe für Testmethoden</t>
    </r>
    <r>
      <rPr>
        <i/>
        <sz val="8"/>
        <color theme="1"/>
        <rFont val="Arial"/>
        <family val="2"/>
        <scheme val="minor"/>
      </rPr>
      <t xml:space="preserve"> </t>
    </r>
    <r>
      <rPr>
        <sz val="8"/>
        <color theme="1"/>
        <rFont val="Arial"/>
        <family val="2"/>
        <scheme val="minor"/>
      </rPr>
      <t>(Eingaberaum, Anwendungsbereich mit Verteilung, Anwendungsgrenze, ggfs. Beschreibung einer ODD)
– Entlang des Testplans (siehe VE1.4), Analyse der Abdeckung des 
Anwendungsbereichs (oder ggfls. einer ODD) durch die vorhandenen Testdaten
– Beschreibung des gegebenen Formats d.h. die Eingaben, Bedingungen und Umgebungen, auf denen auf Leistungsfähigkeit und Robustheit direkt oder indirekt 
getestet wird
– Durchführung des Tests entlang des Testplans</t>
    </r>
    <r>
      <rPr>
        <i/>
        <sz val="8"/>
        <color theme="1"/>
        <rFont val="Arial"/>
        <family val="2"/>
        <scheme val="minor"/>
      </rPr>
      <t xml:space="preserve"> </t>
    </r>
    <r>
      <rPr>
        <sz val="8"/>
        <color theme="1"/>
        <rFont val="Arial"/>
        <family val="2"/>
        <scheme val="minor"/>
      </rPr>
      <t>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c) Shortcuts in Modellen (falls keine identifiziert wurden ist dies so zu dokumentieren)</t>
    </r>
  </si>
  <si>
    <r>
      <rPr>
        <b/>
        <sz val="8"/>
        <color rgb="FF000000"/>
        <rFont val="Arial"/>
        <family val="2"/>
        <scheme val="minor"/>
      </rPr>
      <t xml:space="preserve">Tech. Maßnahme – Tests
</t>
    </r>
    <r>
      <rPr>
        <sz val="8"/>
        <color rgb="FF000000"/>
        <rFont val="Arial"/>
        <family val="2"/>
        <scheme val="minor"/>
      </rPr>
      <t>– Formelle Beschreibung des Anwendungsbereichs als Eingabe für 
Testmethoden</t>
    </r>
    <r>
      <rPr>
        <i/>
        <sz val="8"/>
        <color rgb="FF000000"/>
        <rFont val="Arial"/>
        <family val="2"/>
        <scheme val="minor"/>
      </rPr>
      <t xml:space="preserve"> </t>
    </r>
    <r>
      <rPr>
        <sz val="8"/>
        <color rgb="FF000000"/>
        <rFont val="Arial"/>
        <family val="2"/>
        <scheme val="minor"/>
      </rPr>
      <t>(Eingaberaum, Anwendungsbereich mit Verteilung, Anwendungsgrenze, ggfls. Beschreibung einer ODD)
– Durchführung des Tests entlang des Testplans</t>
    </r>
    <r>
      <rPr>
        <i/>
        <sz val="8"/>
        <color rgb="FF000000"/>
        <rFont val="Arial"/>
        <family val="2"/>
        <scheme val="minor"/>
      </rPr>
      <t xml:space="preserve"> </t>
    </r>
    <r>
      <rPr>
        <sz val="8"/>
        <color rgb="FF000000"/>
        <rFont val="Arial"/>
        <family val="2"/>
        <scheme val="minor"/>
      </rPr>
      <t xml:space="preserve">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t>
    </r>
  </si>
  <si>
    <t>Es müssen Mechanismen vorhanden sein, die es Nutzern oder betroffenen Personen ermöglichen, die Entscheidungen und Ausgaben des KI-Systems
zu verwerfen, anzufechten, zu korrigieren oder 
zu unterbrechen</t>
  </si>
  <si>
    <t>Betroffene Personen und Nutzer müssen die
Möglichkeit haben, sich über die Anwendung 
des KI-Systems, die Art und Weise, wie
das KI-System eine Entscheidung unterstützt, 
und die Interpretation seiner Ausgaben 
zu informieren.</t>
  </si>
  <si>
    <r>
      <rPr>
        <b/>
        <sz val="8"/>
        <color rgb="FF000000"/>
        <rFont val="Arial"/>
        <family val="2"/>
        <scheme val="minor"/>
      </rPr>
      <t xml:space="preserve">Tech. Maßnahmen – Betrieb
</t>
    </r>
    <r>
      <rPr>
        <sz val="8"/>
        <color rgb="FF000000"/>
        <rFont val="Arial"/>
        <family val="2"/>
        <scheme val="minor"/>
      </rPr>
      <t>Die entsprechenden Mechanismen zum Anfechten, Korrigieren oder Unterbrechen
des KI-Systems müssen auf die identifizierten Risiken, den Zweck des KI-Systems 
und die Adressaten der Maßnahme abgestimmt werden.
Maßnahmen, die in Betracht gezogen werden, umfassen zumindest:
–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t>
    </r>
  </si>
  <si>
    <r>
      <rPr>
        <b/>
        <sz val="8"/>
        <color theme="1"/>
        <rFont val="Arial"/>
        <family val="2"/>
        <scheme val="minor"/>
      </rPr>
      <t xml:space="preserve">Tech. Maßnahmen – Betrieb
</t>
    </r>
    <r>
      <rPr>
        <sz val="8"/>
        <color theme="1"/>
        <rFont val="Arial"/>
        <family val="2"/>
        <scheme val="minor"/>
      </rPr>
      <t>Maßnahmen, die in Betracht gezogen werden, umfassen zumindest:</t>
    </r>
    <r>
      <rPr>
        <b/>
        <sz val="8"/>
        <color theme="1"/>
        <rFont val="Arial"/>
        <family val="2"/>
        <scheme val="minor"/>
      </rPr>
      <t xml:space="preserve">
</t>
    </r>
    <r>
      <rPr>
        <sz val="8"/>
        <color theme="1"/>
        <rFont val="Arial"/>
        <family val="2"/>
        <scheme val="minor"/>
      </rPr>
      <t>– Widerspruchsformular über das Anfechtungen von Entscheidungen 
eingereicht werden können
– Weiterleitung zu einer menschlichen Überprüfung, wo durch eine qualifizierte 
und autorisierte Person eine Entscheidung bestätigt oder eine Ausgabe verarbeitet werden muss
– Not-Aus-Funktion welche das System durch eine natürliche Person in einen 
sicheren Zustand versetzt
– Interaktive grafische Nutzeroberfläche zur Abbildung der Aktionen</t>
    </r>
  </si>
  <si>
    <t>Es wurden keine Maßnahmen ergriffen 
um KI-spezifische 
Angriffe während der Vorbereitungs- und Modelltrainingsphase 
zu mitigieren.</t>
  </si>
  <si>
    <t>Es muss für betroffene Personen und Nutzer 
möglich sein, ihre mit personenbezogenen Daten einhergehenden Rechte zu Datenverwaltung, 
-löschung  und -benutzung sowie Informationspflichten auch im Betrieb des KI-Systems wahrzunehmen.</t>
  </si>
  <si>
    <r>
      <rPr>
        <b/>
        <sz val="8"/>
        <color theme="1"/>
        <rFont val="Arial"/>
        <family val="2"/>
        <scheme val="minor"/>
      </rPr>
      <t xml:space="preserve">Orga. Maßnahmen – Benutzerinstruktion
</t>
    </r>
    <r>
      <rPr>
        <sz val="8"/>
        <color theme="1"/>
        <rFont val="Arial"/>
        <family val="2"/>
        <scheme val="minor"/>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Bekannte Risiken und Implikationen für die Nutzung des KI-Systems 
(Risiken durch Nutzung und durch Ergebnisse) 
– Zusammenfassung der erwarteten Eingabedaten
– Beschreibungen zur  Interpretation der Ausgaben des KI-Systems
– Beschreibung des Grads der Autonomie und der Entscheidungsprozesse 
des KI-Systems
– Notwendige Maßnahmen zur menschlichen Aufsicht über das System
– Anforderungen an die Nutzer (z.B. Schulung) für die Verwendung des 
KI-Systems
– Notwendige Instandhaltungsmaßnahmen (inklusive Softwareupdates)
</t>
    </r>
    <r>
      <rPr>
        <b/>
        <sz val="8"/>
        <color theme="1"/>
        <rFont val="Arial"/>
        <family val="2"/>
        <scheme val="minor"/>
      </rPr>
      <t xml:space="preserve">Tech. Maßnahmen – Betrieb
</t>
    </r>
    <r>
      <rPr>
        <sz val="8"/>
        <color theme="1"/>
        <rFont val="Arial"/>
        <family val="2"/>
        <scheme val="minor"/>
      </rPr>
      <t>– Integration von Benachrichtigungen an natürliche Personen, die mit 
dem KI-System interagieren darüber, dass die Ergebnisse und potenzielle Entscheidungsfindung auf dem KI-System basieren
– Bereitstellung von Informationen zu Ausgaben oder getroffenen Entscheidungen 
des KI-Systems, die eine korrekte Interpretation ermöglichen
– Warnung vor sogenanntem "Automation Bias" und möglichen Folgen</t>
    </r>
  </si>
  <si>
    <t xml:space="preserve">Risiken für die Cybersicherheit des KI-Systems müssen unter Beachtung des Verwendungs-zwecks analysiert werden. </t>
  </si>
  <si>
    <t>Für das KI-System, einschließlich aller 
KI-Komponenten und des eingebetteten IKT-Systems, muss ein Cybersicherheits-managementsystem (CSMS) vorgesehen sein.</t>
  </si>
  <si>
    <t>Es müssen Maßnahmen 
zur Kontrolle der Cybersicher-heitsaspekte des KI-Lieferketten-managements vorhanden sein, insbesondere im Hinblick auf Schwachstellen oder schädliche Praktiken bei der Verwendung 
von vortrainierten Modellen, 
Open-Source-Bibliotheken für maschinelles Lernen und Trainingsdaten von Dritten.</t>
  </si>
  <si>
    <t>Es müssen Maßnahmen und Sicherheitskontrollen vorhanden sein, um fehlerhafte Nutzung 
und Missbrauch des KI-Systems 
zu verhindern.</t>
  </si>
  <si>
    <t>Es müssen Maßnahmen und Sicherheitskontrollen vorhanden sein, die den Zugang zu
Trainings-, Test-, Validierungs-, und allen anderen KI-spezi-
fischen Daten regeln.</t>
  </si>
  <si>
    <t>Es muss bewertet werden, ob 
die ergriffenen Maßnahmen die festgestellten Risiken auf ein annehmbares Maß vermindert haben und die Qualität des
KI-Systems den gesetzten
Zielvorgaben entspricht.</t>
  </si>
  <si>
    <t xml:space="preserve">Risiken für die Cybersicherheit des KI-Systems durch 
KI-spezifische Angriffe müssen unter Beachtung des Ver-wendungszwecks analysiert werden. </t>
  </si>
  <si>
    <t>Es müssen Maßnahmen und Sicherheitskontrollen vorhanden sein, um KI-spezifische 
Angriffe die während des
Betriebs auftreten können 
zu mitigieren.</t>
  </si>
  <si>
    <t>Es müssen Maßnahmen und Sicherheitskontrollen vorhanden sein, um KI-spezifische 
Angriffe, die während der Vorbereitungs- und Modell-trainingsphase der KI-Modelle stattfinden zu mitigieren.</t>
  </si>
  <si>
    <t>Es muss bewertet werden, ob 
die ergriffenen Maßnahmen die festgestellten Risiken auf ein annehmbares Maß vermindert haben und die Qualität des 
KI-Systems den gesetzten 
Zielvorgaben entspricht.</t>
  </si>
  <si>
    <r>
      <rPr>
        <b/>
        <sz val="8"/>
        <color rgb="FF000000"/>
        <rFont val="Arial"/>
        <family val="2"/>
        <scheme val="minor"/>
      </rPr>
      <t>Tech. Maßnahmen – Daten</t>
    </r>
    <r>
      <rPr>
        <sz val="8"/>
        <color rgb="FF000000"/>
        <rFont val="Arial"/>
        <family val="2"/>
        <scheme val="minor"/>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Aktualität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die ausgewählten Metriken und Tests sollten wenn möglich durch 
einen hohen Grad der Automatisierung eine kontinuierliche Evaluation
der KI-Modelle erlauben 
– Festlegung von Schwellenwerten (als Mindestanforderungen an die Funktionalität/Leistung) und Begründung der Schwellenwerte unter Berücksichtigung des Anwendungsbereichs und Verwendungszwecks
– falls anwendbar: Abstufung der Metriken und Schwellenwerte nach unter-
schiedlichen Einsatzszenarien mit Bezug zur Definition des Anwendungs-
bereichs</t>
    </r>
  </si>
  <si>
    <r>
      <rPr>
        <b/>
        <sz val="8"/>
        <color rgb="FF000000"/>
        <rFont val="Arial"/>
        <family val="2"/>
        <scheme val="minor"/>
      </rPr>
      <t xml:space="preserve">Orga. Maßnahmen – Governance / Systemnahe Prozesse
</t>
    </r>
    <r>
      <rPr>
        <sz val="8"/>
        <color rgb="FF000000"/>
        <rFont val="Arial"/>
        <family val="2"/>
        <scheme val="minor"/>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Tech. Maßnahmen – Daten
</t>
    </r>
    <r>
      <rPr>
        <sz val="8"/>
        <color rgb="FF000000"/>
        <rFont val="Arial"/>
        <family val="2"/>
        <scheme val="minor"/>
      </rPr>
      <t xml:space="preserve">–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</si>
  <si>
    <t>Es müssen nicht-KI-spezifische Maßnahmen
ergriffen werden, um unter Beachtung des identi-
fizierten Risikos den Schutz personenbezogener 
Daten zu gewährleisten.</t>
  </si>
  <si>
    <r>
      <rPr>
        <b/>
        <sz val="8"/>
        <color rgb="FF000000"/>
        <rFont val="Arial"/>
        <family val="2"/>
        <scheme val="minor"/>
      </rPr>
      <t xml:space="preserve">Maßnahmen entsprechend der Datenschutzfolgeabschätzung 
nach DSGVO Art.35 umgesetzt </t>
    </r>
    <r>
      <rPr>
        <sz val="8"/>
        <color rgb="FF000000"/>
        <rFont val="Arial"/>
        <family val="2"/>
        <scheme val="minor"/>
      </rPr>
      <t xml:space="preserve">
</t>
    </r>
    <r>
      <rPr>
        <b/>
        <sz val="8"/>
        <color rgb="FF000000"/>
        <rFont val="Arial"/>
        <family val="2"/>
        <scheme val="minor"/>
      </rPr>
      <t>oder</t>
    </r>
    <r>
      <rPr>
        <sz val="8"/>
        <color rgb="FF000000"/>
        <rFont val="Arial"/>
        <family val="2"/>
        <scheme val="minor"/>
      </rPr>
      <t xml:space="preserve">
</t>
    </r>
    <r>
      <rPr>
        <b/>
        <sz val="8"/>
        <color rgb="FF000000"/>
        <rFont val="Arial"/>
        <family val="2"/>
        <scheme val="minor"/>
      </rPr>
      <t>Orga. Maßnahmen – Governance / Systemnahe Prozesse</t>
    </r>
    <r>
      <rPr>
        <sz val="8"/>
        <color rgb="FF000000"/>
        <rFont val="Arial"/>
        <family val="2"/>
        <scheme val="minor"/>
      </rPr>
      <t xml:space="preserve">
– Implementierung von Mechanismen zur Datenminimierung, um nur die 
notwendigen personenbezogenen Daten zu erheben und zu verarbeiten.
–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rial"/>
        <family val="2"/>
        <scheme val="minor"/>
      </rPr>
      <t xml:space="preserve">
Tech. Maßnahmen – Daten</t>
    </r>
    <r>
      <rPr>
        <sz val="8"/>
        <color rgb="FF000000"/>
        <rFont val="Arial"/>
        <family val="2"/>
        <scheme val="minor"/>
      </rPr>
      <t xml:space="preserve">
–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 Implementierung von Prozessen, um betroffene Personen über automatisierte Entscheidungen und deren Logik zu informieren (ggfs. Bezug zu KI-spezifischen Maßnahmen zu Erklärbarkeit, siehe TR2)
</t>
    </r>
    <r>
      <rPr>
        <b/>
        <sz val="8"/>
        <color rgb="FF000000"/>
        <rFont val="Arial"/>
        <family val="2"/>
        <scheme val="minor"/>
      </rPr>
      <t>Tech. Maßnahmen – Betrieb</t>
    </r>
    <r>
      <rPr>
        <sz val="8"/>
        <color rgb="FF000000"/>
        <rFont val="Arial"/>
        <family val="2"/>
        <scheme val="minor"/>
      </rPr>
      <t xml:space="preserve">
– Regelmäßige Prüfungen und Audits der Datenverarbeitungsprozesse und 
-praktiken, um sicherzustellen, dass die Datenschutzanforderungen entsprechend
dem Verwendungszweck eingehalten werden.</t>
    </r>
  </si>
  <si>
    <r>
      <rPr>
        <b/>
        <sz val="8"/>
        <color rgb="FF000000"/>
        <rFont val="Arial"/>
        <family val="2"/>
        <scheme val="minor"/>
      </rPr>
      <t xml:space="preserve">Analyse – Definition
</t>
    </r>
    <r>
      <rPr>
        <sz val="8"/>
        <color rgb="FF000000"/>
        <rFont val="Arial"/>
        <family val="2"/>
        <scheme val="minor"/>
      </rPr>
      <t>Der Verwendungszweck ist definiert im Sinne von Funktionalitäten 
des KI-Systems sowie angestrebte/mögliche/erlaubte Nutzergruppen 
und Betroffene Personen ("Data Subjects").
Der Anwendungsbereich ist mit Bezug auf den Verwendungszweck 
definiert und umfasst:
– die zu erwarteten Eingabedaten und angestrebte Systemausgaben 
(inklusive Format und Inhalt)
– Grobe Beschreibung von Einsatzkontexten/ Umgebungen, für die das 
KI-System geeignet ist und auch solche, in denen das KI-System nicht 
eingesetzt werden darf</t>
    </r>
  </si>
  <si>
    <t>Tech. Maßnahmen – Sonstige
Die Systemarchitektur ist dokumentiert, einschließlich:
– KI-Komponenten (siehe TR1.4)
– Hard- und Software-Einbettung und Anforderungen an diese
– Schnittstellen z.B. für Nutzer*innen oder zu anderen Systemen
– Informationsfluss zwischen einzelnen Bestandteilen des Systems
– Begründung der Wahl der Architektur mit einer Beschreibung der
 Rolle der einzelnen Bestandteile im Kontext des Zwecks des KI-Systems 
– Ggf. Lizenz unter welcher das System verwendet werden darf
– Vorgesehene Modalitäten des KI-Systems zur "eigenständigen" Anpassung/Weiterentwicklung während des Betriebs inklusive Online-Learning</t>
  </si>
  <si>
    <t>Tech. Maßnahmen –  Sonstige
Die Systemarchitektur ist dokumentiert, einschließlich:
– KI-Komponenten (siehe TR1.4)
– Hard- und Software-Einbettung und Anforderungen an diese
– Schnittstellen z.B. für Nutzer*innen oder zu anderen Systemen
– Informationsfluss zwischen einzelnen Bestandteilen des Systems
– Ggf. Lizenz unter welcher das System verwendet werden darf</t>
  </si>
  <si>
    <t>Tech. Maßnahmen – Sonstige
Die Systemarchitektur ist dokumentiert, einschließlich:
– KI-Komponenten (siehe TR1.4)
– Hard- und Software-Einbettung
– Schnittstellen z.B. für Nutzer*innen oder zu anderen Systemen
– Informationsfluss zwischen einzelnen Bestandteilen des Systems
– Ggf. Lizenz unter welcher das System verwendet werden darf</t>
  </si>
  <si>
    <t>Es wurde keine Einordnung 
der Autonomiestufe vorgenommen.</t>
  </si>
  <si>
    <r>
      <rPr>
        <b/>
        <sz val="8"/>
        <color theme="1"/>
        <rFont val="Arial"/>
        <family val="2"/>
        <scheme val="minor"/>
      </rPr>
      <t xml:space="preserve">Tech. Maßnahme – Betrieb
</t>
    </r>
    <r>
      <rPr>
        <sz val="8"/>
        <color theme="1"/>
        <rFont val="Arial"/>
        <family val="2"/>
        <scheme val="minor"/>
      </rPr>
      <t xml:space="preserve">Eine kontinuierliche Überwachung muss für die Implementierung des  
KI-Systems vorgesehen sein und auf Basis entsprechender Protokollierung 
(siehe TR1.7) umgesetzt werden können. Dies beinhaltet die Erprobung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
– Falls anwendbar, Durchführung von Tests zur Erkennung von Missbrauch und schädlichen Eingabedaten
– Ggf. Qualitätsüberprüfung der sich erweiternden Trainingsdatenbasis  
</t>
    </r>
    <r>
      <rPr>
        <b/>
        <sz val="8"/>
        <color theme="1"/>
        <rFont val="Arial"/>
        <family val="2"/>
        <scheme val="minor"/>
      </rPr>
      <t xml:space="preserve">Organisatorische Maßnahme – Systemnahe Prozesse
</t>
    </r>
    <r>
      <rPr>
        <sz val="8"/>
        <color theme="1"/>
        <rFont val="Arial"/>
        <family val="2"/>
        <scheme val="minor"/>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 Falls möglich, Mechanismen in Form sinnvoller Definition von Schwellwerten 
bzw. Szenarien, bei denen (menschliche) Überprüfung und Mitigationsmaßnahmen eintreten sollten
– Mechanismen zum Teilen von neuen Informationen über mögliche 
sicherheitsrelevante Vorfälle und ihrer Vermeidung </t>
    </r>
  </si>
  <si>
    <r>
      <rPr>
        <b/>
        <sz val="8"/>
        <color rgb="FF000000"/>
        <rFont val="Arial"/>
        <family val="2"/>
        <scheme val="minor"/>
      </rPr>
      <t xml:space="preserve">Tech. Maßnahme – Betrieb
</t>
    </r>
    <r>
      <rPr>
        <sz val="8"/>
        <color rgb="FF000000"/>
        <rFont val="Arial"/>
        <family val="2"/>
        <scheme val="minor"/>
      </rPr>
      <t xml:space="preserve">Eine kontinuierliche Überwachung muss für die Implementierung des  
KI-Systems vorgesehen sein und auf Basis entsprechender Protokollierung 
(siehe TR1.7) umgesetzt werden können. Dies beinhaltet die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
</t>
    </r>
    <r>
      <rPr>
        <b/>
        <sz val="8"/>
        <color rgb="FF000000"/>
        <rFont val="Arial"/>
        <family val="2"/>
        <scheme val="minor"/>
      </rPr>
      <t xml:space="preserve">
Organisatorische Maßnahme – Systemnahe Prozesse
</t>
    </r>
    <r>
      <rPr>
        <sz val="8"/>
        <color rgb="FF000000"/>
        <rFont val="Arial"/>
        <family val="2"/>
        <scheme val="minor"/>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t>
    </r>
    <r>
      <rPr>
        <b/>
        <sz val="8"/>
        <color rgb="FFFF0000"/>
        <rFont val="Arial"/>
        <family val="2"/>
        <scheme val="minor"/>
      </rPr>
      <t xml:space="preserve">
</t>
    </r>
    <r>
      <rPr>
        <b/>
        <strike/>
        <sz val="8"/>
        <color rgb="FFFF0000"/>
        <rFont val="Arial"/>
        <family val="2"/>
        <scheme val="minor"/>
      </rPr>
      <t xml:space="preserve">
</t>
    </r>
    <r>
      <rPr>
        <i/>
        <sz val="8"/>
        <color rgb="FFFF0000"/>
        <rFont val="Arial"/>
        <family val="2"/>
        <scheme val="minor"/>
      </rPr>
      <t xml:space="preserve">
</t>
    </r>
  </si>
  <si>
    <r>
      <rPr>
        <b/>
        <sz val="8"/>
        <rFont val="Arial"/>
        <family val="2"/>
        <scheme val="minor"/>
      </rPr>
      <t xml:space="preserve">Tech. Maßnahme – Betrieb
</t>
    </r>
    <r>
      <rPr>
        <sz val="8"/>
        <rFont val="Arial"/>
        <family val="2"/>
        <scheme val="minor"/>
      </rPr>
      <t>Eine kontinuierliche Überwachung muss für die Implementierung des 
KI-Systems vorgesehen sein und auf Basis entsprechender Protokollierung
(siehe TR1.7) umgesetzt werden können. Dies beinhaltet die folgender 
Möglichkeiten:
– Monitoring der Leistung inklusive einer Überwachung der Modelle und Daten
(d.h. einkommende Produktionsdaten und ggf. sich erweiternde Trainingsdaten-
basis)
– Monitoring von Verzerrungen inklusive einer Überwachung der Daten
(d.h. einkommende Produktionsdaten und ggf. sich erweiternde Trainings-
datenbasis) im Kontext der Vermeidung von ungerechtfertigter Diskriminierung 
und Verzerrungen
– Durchführung von Tests (z.B. Sanity Checks), die im Rahmen des Monitorings eingesetzt werden, um etwa Model und Concept Drift, oder auch schädliche
Eingabedaten zu erkennen</t>
    </r>
  </si>
  <si>
    <r>
      <rPr>
        <b/>
        <sz val="8"/>
        <color theme="1"/>
        <rFont val="Arial"/>
        <family val="2"/>
        <scheme val="minor"/>
      </rPr>
      <t xml:space="preserve">Analyse – Metriken / Schwellenwerte [Robustheit] </t>
    </r>
    <r>
      <rPr>
        <sz val="8"/>
        <color theme="1"/>
        <rFont val="Arial"/>
        <family val="2"/>
        <scheme val="minor"/>
      </rPr>
      <t xml:space="preserve">
Durch den Anwendungsbereich begründete Auswahl und Anzahl an Metriken, 
Tests und Methoden zur Analyse der Robustheit des Systems, je nach Nutzen
möglichst unterschiedlicher Kategorien. Dies schließt ein:
– statistische Auswertung der Robustheit des KI-Modells. z.B. zur Bestimmung 
von Edge-Cases oder empirische Auswertung der Systemfunktionalität 
z.B. im Sinne von Experimenten zu Extrembedingungen</t>
    </r>
    <r>
      <rPr>
        <strike/>
        <sz val="8"/>
        <color theme="1"/>
        <rFont val="Arial"/>
        <family val="2"/>
        <scheme val="minor"/>
      </rPr>
      <t xml:space="preserve">
</t>
    </r>
    <r>
      <rPr>
        <sz val="8"/>
        <color theme="1"/>
        <rFont val="Arial"/>
        <family val="2"/>
        <scheme val="minor"/>
      </rPr>
      <t xml:space="preserve">– abhängig vom KI-Modell gewählte passende Methoden zur Unsicherheitsbestimmung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Robustheit)
und Begründung der Schwellenwerte unter Berücksichtigung des Anwendungs-
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</si>
  <si>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t>Dieses Dokument ist Teil des MISSION KI Qualitätsstandards. ©acatech – Deutsche Akademie der Technikwissenschaften e.V. Dieses Werk ist lizenziert unter der Creative Commons Lizenz Namensnennung – Keine Bearbeitungen 4.0 International (CC BY-ND 4.0).</t>
  </si>
  <si>
    <t>https://creativecommons.org/licenses/by-nd/4.0/deed.de</t>
  </si>
  <si>
    <r>
      <rPr>
        <b/>
        <sz val="8"/>
        <color rgb="FF000000"/>
        <rFont val="Arial"/>
        <family val="2"/>
        <scheme val="minor"/>
      </rPr>
      <t xml:space="preserve">Tech. Maßnahme – Test
</t>
    </r>
    <r>
      <rPr>
        <sz val="8"/>
        <color rgb="FF000000"/>
        <rFont val="Arial"/>
        <family val="2"/>
        <scheme val="minor"/>
      </rPr>
      <t>Die in VE2.2-VE2.4 definierten Mitigationsmaßnahmen und -strategien 
müssen soweit möglich unter Berücksichtigung des Anwendungsbereichs 
und Verwendungszwecks getestet und bewertet werden. Dies beinhaltet:
– Testen und Bewerten von Monitoring und Logging (siehe auch MA2.3 und TR1.7) 
hinsichtlich der in VE2.1 identifizierten Risiken, insbesondere in Bezug auf 
fehlerhafter Eingaben, falscher Anwendungsumgebungen, externer Änderungen 
und Extremfälle 
– Testen von Rückfallmechanismen, Fail-safe Modi und Alarmsystemen definiert
in VE2.2, mindestens aber muss die Möglichkeit getestet werden solche Systeme
an das KI-System anbinden zu können
– wenn anwendbar, Prüfen von Metriken und Tests  zur Mitigation des Risikos 
einer Fehlfunktion oder eines Ausfalls des KI-System definiert werden, definiert
in VE2.3
– Dokumentation aller Testergebnisse</t>
    </r>
  </si>
  <si>
    <r>
      <rPr>
        <b/>
        <sz val="8"/>
        <color rgb="FF000000"/>
        <rFont val="Arial"/>
        <family val="2"/>
        <scheme val="minor"/>
      </rPr>
      <t xml:space="preserve">Tech. Maßnahme – Test
</t>
    </r>
    <r>
      <rPr>
        <sz val="8"/>
        <color rgb="FF000000"/>
        <rFont val="Arial"/>
        <family val="2"/>
        <scheme val="minor"/>
      </rPr>
      <t xml:space="preserve">Die in VE2.2-VE2.4 definierten Mitigationsmaßnahmen- und Strategien müssen 
soweit möglich unter Berücksichtigung des Anwendungsbereichs und Verwendungszwecks getestet und bewertet werden. Dies beinhaltet:
– Testen und Bewerten von Monitoring und Logging (siehe auch MA2.3 und TR1.7) hinsichtlich der in VE2.1 identifizierten Risiken, insbesondere in Bezug auf fehlerhafter Eingaben, falscher Anwendungsumgebungen, externen Änderungen und Extremfälle 
– wenn anwendbar, Prüfen von Metriken und Tests  zur Mitigation des Risikos 
einer Fehlfunktion oder eines Ausfalls des KI-System definiert werden, definiert
in VE2.3
– Dokumentation aller Testergebnisse
</t>
    </r>
  </si>
  <si>
    <r>
      <rPr>
        <b/>
        <sz val="8"/>
        <color rgb="FF000000"/>
        <rFont val="Arial"/>
        <family val="2"/>
        <scheme val="minor"/>
      </rPr>
      <t xml:space="preserve">Tech. Maßnahme – Test
</t>
    </r>
    <r>
      <rPr>
        <sz val="8"/>
        <color rgb="FF000000"/>
        <rFont val="Arial"/>
        <family val="2"/>
        <scheme val="minor"/>
      </rPr>
      <t>Die in VE2.2-VE2.4 definierten Mitigationsmaßnahmen- und strategien müssen 
soweit möglich unter Berücksichtigung des Anwendungsbereichs und Verwendungszwecks getestet und bewertet werden. Dies beinhaltet:
– Bewerten von Monitoring und Logging (siehe auch MA2.3 und TR1.7)
und der Mitigationsmaßnahmen in VE2.2-VE2.4 hinsichtlich der in VE2.1 identifizierten Risiken, insbesondere in Bezug auf fehlerhafter Eingaben, 
falscher Anwendungsumgebungen, externen Änderungen und Extremfälle 
– Dokumentation aller Testergebnisse</t>
    </r>
    <r>
      <rPr>
        <strike/>
        <sz val="8"/>
        <color rgb="FFC00000"/>
        <rFont val="Arial"/>
        <family val="2"/>
        <scheme val="minor"/>
      </rPr>
      <t xml:space="preserve">
</t>
    </r>
    <r>
      <rPr>
        <strike/>
        <sz val="8"/>
        <color rgb="FFFF0000"/>
        <rFont val="Arial"/>
        <family val="2"/>
        <scheme val="minor"/>
      </rPr>
      <t xml:space="preserve">
</t>
    </r>
  </si>
  <si>
    <r>
      <rPr>
        <b/>
        <sz val="8"/>
        <color theme="1"/>
        <rFont val="Arial"/>
        <family val="2"/>
        <scheme val="minor"/>
      </rPr>
      <t xml:space="preserve">Techn. Maßnahmen – Metriken &amp; Schwellenwerte
</t>
    </r>
    <r>
      <rPr>
        <sz val="8"/>
        <color theme="1"/>
        <rFont val="Arial"/>
        <family val="2"/>
        <scheme val="minor"/>
      </rPr>
      <t xml:space="preserve">Durch den Anwendungsbereich begründete Auswahl und Anzahl an Metriken und 
Tests. Dies schließt mindestens eine Methode ein: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es genügen Basismethoden (hinsichtlich Informationsgehalt, Aussagekräftigkeit, Implementierungsaufwand, z.B. eine simple Metrik - siehe zusätzliche Information) 
– ggf. Festlegung von Schwellenwerten (als Mindestanforderungen an die Funktionalität/Leistung des gesamten Systems) und Begründung der Schwellenwerte unter Berücksichtigung des Anwendungsbereichs und Verwendungszwecks
</t>
    </r>
  </si>
  <si>
    <r>
      <rPr>
        <b/>
        <sz val="8"/>
        <color rgb="FF000000"/>
        <rFont val="Arial"/>
        <family val="2"/>
        <scheme val="minor"/>
      </rPr>
      <t xml:space="preserve">Analyse – Definition
</t>
    </r>
    <r>
      <rPr>
        <sz val="8"/>
        <color rgb="FF000000"/>
        <rFont val="Arial"/>
        <family val="2"/>
        <scheme val="minor"/>
      </rPr>
      <t>Der Verwendungszweck ist definiert im Sinne von: 
i) Verbesserungen und Vorteile, die mit dem System erreicht werden 
können und 
ii) Funktionalitäten des KI-Systems, mithilfe derer diese Verbesserungen 
und Vorteile realisierbar sein sollen
iii) angestrebte/mögliche/erlaubte Nutzergruppen und Betroffene Personen
("Data Subjects") 
Der Anwendungsbereich ist mit Bezug auf den Verwendungszweck 
definiert und umfasst:
– die zu erwarteten Eingabedaten und angestrebte Systemausgaben
(inklusive Format und Inhalt)
– eine umfassende Beschreibung von Einsatzkontexten/ Umgebungen,
für die das KI-System geeignet ist und auch solche, in denen das KI-System 
nicht eingesetzt werden darf
– Beschreibung von vorhersehbarer missbräuchlicher oder fehlgeleiteter Anwendung des KI-Systems
– falls anwendbar: Definition einer ODD
Die Einsehbarkeit der Definitionen ist für relevante Interessensgruppen möglich.</t>
    </r>
  </si>
  <si>
    <t>Aus Plausibilitätsgründen 
sind nicht zwangsläufig alle 
Maßnahmen in CY2.2 relevant 
zum Schutz proprietärer Daten, 
z.B., wenn es um das Schutzziel Availability geht.</t>
  </si>
  <si>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 Ggfs. Beschreibung und Begründung der Anpassungen der Architektur 
des KI-Systems im Laufe der Entwicklung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Relevante Datenvorbereitungsprozesse
(z.B. Bereinigung, Annotation, Kennzeichnung, Anreicherung, Aggregation, Feature Engineering)
– Rückverfolgung der Data-Lineage und zur möglichen Wiederherstellung 
der Daten
</t>
    </r>
    <r>
      <rPr>
        <b/>
        <sz val="8"/>
        <color rgb="FF000000"/>
        <rFont val="Arial"/>
        <family val="2"/>
        <scheme val="minor"/>
      </rPr>
      <t xml:space="preserve">
Tech. Maßnahmen – Modell
</t>
    </r>
    <r>
      <rPr>
        <sz val="8"/>
        <color rgb="FF000000"/>
        <rFont val="Arial"/>
        <family val="2"/>
        <scheme val="minor"/>
      </rPr>
      <t>Die Dokumentation zum Entwurfs- und Entwicklungsprozess umfasst: 
– Ein System zur Versionsverwaltung und Nachverfolgung von Änderungen an 
den KI-Modellen und Aufzeichnung der Trainings und der jeweils eingesetzten 
Daten
– Beschreibung der Änderungen an KI-Modellen im Laufe des
Entwicklungsprozesses</t>
    </r>
  </si>
  <si>
    <r>
      <rPr>
        <b/>
        <sz val="8"/>
        <color rgb="FF000000"/>
        <rFont val="Arial"/>
        <family val="2"/>
        <scheme val="minor"/>
      </rPr>
      <t xml:space="preserve">Orga. Maßnahme – Systemnahe Prozesse
</t>
    </r>
    <r>
      <rPr>
        <sz val="8"/>
        <color rgb="FF000000"/>
        <rFont val="Arial"/>
        <family val="2"/>
        <scheme val="minor"/>
      </rPr>
      <t xml:space="preserve">Die Dokumentation zum Entwurfs- und Entwicklungsprozess umfasst:
– Übersicht der verantwortlichen Person(en) und deren Aufgaben
– Rückverfolgbarkeit und systematische Vorgehensweise einzelner 
Arbeitselemente (z.B. durch Projektmanagement-Tool)
</t>
    </r>
    <r>
      <rPr>
        <b/>
        <sz val="8"/>
        <color rgb="FF000000"/>
        <rFont val="Arial"/>
        <family val="2"/>
        <scheme val="minor"/>
      </rPr>
      <t xml:space="preserve">Tech. Maßnahmen – Daten
</t>
    </r>
    <r>
      <rPr>
        <sz val="8"/>
        <color rgb="FF000000"/>
        <rFont val="Arial"/>
        <family val="2"/>
        <scheme val="minor"/>
      </rPr>
      <t xml:space="preserve">Die Dokumentation zum Entwurfs- und Entwicklungsprozess umfasst:
– Verwendete Daten und ihre Herkunft
– Relevante Datenvorbereitungsprozesse
(z.B. Bereinigung, Annotation, Kennzeichnung, Anreicherung, Aggregation, Feature Engineering)
– Rückverfolgung der Data-Lineage
</t>
    </r>
    <r>
      <rPr>
        <b/>
        <sz val="8"/>
        <color rgb="FF000000"/>
        <rFont val="Arial"/>
        <family val="2"/>
        <scheme val="minor"/>
      </rPr>
      <t xml:space="preserve">Tech. Maßnahmen – Modell
</t>
    </r>
    <r>
      <rPr>
        <sz val="8"/>
        <color rgb="FF000000"/>
        <rFont val="Arial"/>
        <family val="2"/>
        <scheme val="minor"/>
      </rPr>
      <t xml:space="preserve">Die Dokumentation zum Entwurfs- und Entwicklungsprozess umfasst: 
– Ein System zur Versionsverwaltung und Nachverfolgung von Änderungen
an den KI-Modellen und Aufzeichnung der Trainings und der jeweils 
eingesetzten Daten
</t>
    </r>
  </si>
  <si>
    <r>
      <rPr>
        <b/>
        <sz val="8"/>
        <color rgb="FF000000"/>
        <rFont val="Arial"/>
        <family val="2"/>
        <scheme val="minor"/>
      </rPr>
      <t>Orga. Maßnahmen – Systemnahe Prozesse</t>
    </r>
    <r>
      <rPr>
        <sz val="8"/>
        <color rgb="FF000000"/>
        <rFont val="Arial"/>
        <family val="2"/>
        <scheme val="minor"/>
      </rPr>
      <t xml:space="preserve">
Es muss ein zweckorientiertes Konzept zur Protokollierung ("Logging") 
des KI-Systems sowie der darin verwendeten Daten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rgb="FF000000"/>
        <rFont val="Arial"/>
        <family val="2"/>
        <scheme val="minor"/>
      </rPr>
      <t xml:space="preserve">
Tech. Maßnahmen – Betrieb
</t>
    </r>
    <r>
      <rPr>
        <sz val="8"/>
        <color rgb="FF000000"/>
        <rFont val="Arial"/>
        <family val="2"/>
        <scheme val="minor"/>
      </rPr>
      <t>Es ist eine Schnittstelle vorhanden, die es im Betrieb erlaubt mindestens
die folgenden Informationen zu erfassen und zu überwachen:
– Falls technisch möglich und sinnvoll im Anwendungskontext, 
Nutzerinteraktionen und Modellanfragen einschließlich der für die Anfrage verwendeten Modellversion, Eingaben und Ausgaben über einen definierten Zeitraum
– Fehlfunktionen (z.B. bei der Verarbeitung von automatischen oder 
manuellen Aktionen)
– Zugriffe auf Daten, Dienste oder Funktionen durch die Nutzer
– Änderungen an sicherheitsrelevanten Konfigurationsparametern 
(z.B. Fehlerbehandlung und Protokollierungsmechanismen, Benutzer-authentifizierung, Aktionsautorisierung, Kryptographie und Kommunika-tionssicherheit)
– Verletzung der Funktionalitäts-, Schutz- oder Qualitätsziele des KI-Systems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</si>
  <si>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r>
      <rPr>
        <b/>
        <sz val="8"/>
        <color theme="1"/>
        <rFont val="Arial"/>
        <family val="2"/>
        <scheme val="minor"/>
      </rPr>
      <t>Orga. Maßnahmen – Systemnahe Prozesse</t>
    </r>
    <r>
      <rPr>
        <sz val="8"/>
        <color theme="1"/>
        <rFont val="Arial"/>
        <family val="2"/>
        <scheme val="minor"/>
      </rPr>
      <t xml:space="preserve">
Es muss ein zweckorientiertes  Konzept zur Protokollierung ("Logging") 
des KI-Systems sowie der darin verwendeten Daten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theme="1"/>
        <rFont val="Arial"/>
        <family val="2"/>
        <scheme val="minor"/>
      </rPr>
      <t>Tech. Maßnahmen – Betrieb</t>
    </r>
    <r>
      <rPr>
        <sz val="8"/>
        <color theme="1"/>
        <rFont val="Arial"/>
        <family val="2"/>
        <scheme val="minor"/>
      </rPr>
      <t xml:space="preserve">
Es ist eine Schnittstelle vorhanden, die es im Betrieb erlaubt mindestens 
die folgenden Informationen zu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</si>
  <si>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r>
      <rPr>
        <b/>
        <sz val="8"/>
        <color theme="1"/>
        <rFont val="Arial"/>
        <family val="2"/>
        <scheme val="minor"/>
      </rPr>
      <t>Orga. Maßnahmen – Systemnahe Prozesse</t>
    </r>
    <r>
      <rPr>
        <sz val="8"/>
        <color theme="1"/>
        <rFont val="Arial"/>
        <family val="2"/>
        <scheme val="minor"/>
      </rPr>
      <t xml:space="preserve">
Es muss ein zweckorientiertes Konzept zur Protokollierung ("Logging") 
des KI-Systems sowie der darin verwendeten Daten während der Entwicklung 
und des Betriebs erstellt werden. Das Konzept umfasst mindestens die
folgenden Informationen:
– Definition der zu überwachenden Daten und Metriken
– Beschreibung zur Schnittstelle, über die die Protokollierung angesprochen
werden kann
</t>
    </r>
    <r>
      <rPr>
        <b/>
        <sz val="8"/>
        <color theme="1"/>
        <rFont val="Arial"/>
        <family val="2"/>
        <scheme val="minor"/>
      </rPr>
      <t>Tech. Maßnahmen – Betrieb</t>
    </r>
    <r>
      <rPr>
        <sz val="8"/>
        <color theme="1"/>
        <rFont val="Arial"/>
        <family val="2"/>
        <scheme val="minor"/>
      </rPr>
      <t xml:space="preserve">
Es ist eine Schnittstelle vorhanden, die es im Betrieb erlaubt mindestens 
die folgenden Informationen zu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</si>
  <si>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t>Die Risiken im Kontext einer mangelnden Interpretierbarkeit oder Erklärbarkeit 
des KI-Systems müssen analysiert werden.</t>
  </si>
  <si>
    <t>Die Interpretierbarkeit und Erklärbarkeit 
des KI-Systems wurden nicht analysiert.</t>
  </si>
  <si>
    <r>
      <rPr>
        <b/>
        <sz val="6.5"/>
        <color rgb="FF000000"/>
        <rFont val="Arial"/>
        <family val="2"/>
        <scheme val="minor"/>
      </rPr>
      <t xml:space="preserve">Tech. Maßnahmen – Test 
(Metriken KI-Modelle Angriffe in Inferenz- und Deploymentphase): </t>
    </r>
    <r>
      <rPr>
        <sz val="6.5"/>
        <color rgb="FF000000"/>
        <rFont val="Arial"/>
        <family val="2"/>
        <scheme val="minor"/>
      </rPr>
      <t xml:space="preserve">
Prüfung von durch den Anwendungsbereich begründeter Auswahl und Anzahl an Metriken und Tests der adversariellen Robustheit in Bezug auf Angriffsszenarien in der Inferenz- und Deploymentphase, die gegen Vertraulichkeit, Integrität oder Verfügbarkeit des KI-Systems gerichtet sein können. 
– Dies schließt eine Prüfung mit Basis- und fortgeschrittenen Methoden mindestens der folgende Angriffsarten ein:
a) evasion attacks,
b) latency attacks
c) model extraction attacks 
d)  data reconstruction oder property inference attacks
e) prompt injection attacks oder jailbreaks 
– Penetrationstests  von Systemaspekten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Tech. Maßnahmen – Modell</t>
    </r>
    <r>
      <rPr>
        <sz val="6.5"/>
        <color rgb="FF000000"/>
        <rFont val="Arial"/>
        <family val="2"/>
        <scheme val="minor"/>
      </rPr>
      <t xml:space="preserve">
– angemessene KI-spezifische Sicherheitskontrollen und technische Maßnahmen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 Red Teaming des gesamten Systems mit Bezug auf KI-spezifische Angriffe während der Betriebsphase sollten durchgeführten werden</t>
    </r>
  </si>
  <si>
    <r>
      <rPr>
        <b/>
        <sz val="6.5"/>
        <color rgb="FF000000"/>
        <rFont val="Arial"/>
        <family val="2"/>
        <scheme val="minor"/>
      </rPr>
      <t xml:space="preserve">Tech. Maßnahmen – Test
(Metriken KI-Modelle Angriffe in Inferenz- und Deploymentphase): </t>
    </r>
    <r>
      <rPr>
        <sz val="6.5"/>
        <color rgb="FF000000"/>
        <rFont val="Arial"/>
        <family val="2"/>
        <scheme val="minor"/>
      </rPr>
      <t xml:space="preserve">
Prüfung von durch den Anwendungsbereich begründeter Auswahl und Anzahl an Metriken 
und Tests der adversariellen Robustheit in Bezug auf Angriffsszenarien in der Inferenz- und Deploymentphase, die gegen Vertraulichkeit, Integrität oder Verfügbarkeit des KI-Systems 
gerichtet sein können. 
– Dies schließt eine Prüfung mit Basis-Methoden mindestens der folgende Angriffsarten ein:
a) evasion attacks,
b) latency attacks
c) model extraction attacks 
d)  data reconstruction oder property inference attacks
e) prompt injection attacks oder jailbreaks 
– Penetrationstests des gesamten Systems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6.5"/>
        <color rgb="FF000000"/>
        <rFont val="Arial"/>
        <family val="2"/>
        <scheme val="minor"/>
      </rPr>
      <t xml:space="preserve">Tech. Maßnahmen – Modell
</t>
    </r>
    <r>
      <rPr>
        <sz val="6.5"/>
        <color rgb="FF000000"/>
        <rFont val="Arial"/>
        <family val="2"/>
        <scheme val="minor"/>
      </rPr>
      <t xml:space="preserve">–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möglichst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t>
    </r>
  </si>
  <si>
    <r>
      <rPr>
        <b/>
        <sz val="6.5"/>
        <color rgb="FF000000"/>
        <rFont val="Arial"/>
        <family val="2"/>
        <scheme val="minor"/>
      </rPr>
      <t>Tech. Maßnahmen – Test
(Metriken KI-Modelle Angriffe in Inferenz- und Deploymentphase)</t>
    </r>
    <r>
      <rPr>
        <sz val="6.5"/>
        <color rgb="FF000000"/>
        <rFont val="Arial"/>
        <family val="2"/>
        <scheme val="minor"/>
      </rPr>
      <t xml:space="preserv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möglichst der folgende Angriffsarten ein:
a) evasion attacks,
b) latency attacks
c) model extraction attacks 
d)  data reconstruction oder property inference attacks
e) prompt injection attacks oder jailbreaks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6.5"/>
        <color rgb="FF000000"/>
        <rFont val="Arial"/>
        <family val="2"/>
        <scheme val="minor"/>
      </rPr>
      <t>Tech. Maßnahmen – Modell</t>
    </r>
    <r>
      <rPr>
        <sz val="6.5"/>
        <color rgb="FF000000"/>
        <rFont val="Arial"/>
        <family val="2"/>
        <scheme val="minor"/>
      </rPr>
      <t xml:space="preserve">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6.5"/>
        <color rgb="FF000000"/>
        <rFont val="Arial"/>
        <family val="2"/>
        <scheme val="minor"/>
      </rPr>
      <t>Tech. Maßnahmen – System</t>
    </r>
    <r>
      <rPr>
        <sz val="6.5"/>
        <color rgb="FF000000"/>
        <rFont val="Arial"/>
        <family val="2"/>
        <scheme val="minor"/>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</si>
</sst>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Arial"/>
      <family val="2"/>
      <scheme val="minor"/>
    </font>
    <font>
      <sz val="8"/>
      <name val="Arial"/>
      <family val="2"/>
      <scheme val="minor"/>
    </font>
    <font>
      <u/>
      <sz val="11"/>
      <color theme="10"/>
      <name val="Arial"/>
      <family val="2"/>
      <scheme val="minor"/>
    </font>
    <font>
      <b/>
      <sz val="24"/>
      <color theme="0"/>
      <name val="Avenir Next"/>
    </font>
    <font>
      <sz val="11"/>
      <color theme="1"/>
      <name val="Avenir Next"/>
    </font>
    <font>
      <b/>
      <sz val="10"/>
      <color theme="0"/>
      <name val="Avenir Next"/>
    </font>
    <font>
      <sz val="10"/>
      <color theme="1"/>
      <name val="Avenir Next"/>
    </font>
    <font>
      <sz val="8"/>
      <color theme="1"/>
      <name val="Avenir Next"/>
    </font>
    <font>
      <b/>
      <sz val="11"/>
      <color theme="1"/>
      <name val="Avenir Next"/>
    </font>
    <font>
      <strike/>
      <sz val="11"/>
      <color theme="1"/>
      <name val="Avenir Next"/>
    </font>
    <font>
      <b/>
      <sz val="36"/>
      <color theme="0"/>
      <name val="Avenir Next"/>
    </font>
    <font>
      <b/>
      <sz val="8"/>
      <color theme="1"/>
      <name val="Arial"/>
      <family val="2"/>
      <scheme val="minor"/>
    </font>
    <font>
      <sz val="8"/>
      <color theme="1"/>
      <name val="Arial"/>
      <family val="2"/>
      <scheme val="minor"/>
    </font>
    <font>
      <b/>
      <sz val="8"/>
      <color rgb="FF000000"/>
      <name val="Arial"/>
      <family val="2"/>
      <scheme val="minor"/>
    </font>
    <font>
      <sz val="8"/>
      <color rgb="FF000000"/>
      <name val="Arial"/>
      <family val="2"/>
      <scheme val="minor"/>
    </font>
    <font>
      <strike/>
      <sz val="8"/>
      <color rgb="FF000000"/>
      <name val="Arial"/>
      <family val="2"/>
      <scheme val="minor"/>
    </font>
    <font>
      <b/>
      <sz val="8"/>
      <name val="Arial"/>
      <family val="2"/>
      <scheme val="minor"/>
    </font>
    <font>
      <sz val="8"/>
      <color rgb="FFFF0000"/>
      <name val="Arial"/>
      <family val="2"/>
      <scheme val="minor"/>
    </font>
    <font>
      <strike/>
      <sz val="8"/>
      <name val="Arial"/>
      <family val="2"/>
      <scheme val="minor"/>
    </font>
    <font>
      <strike/>
      <sz val="8"/>
      <color theme="1"/>
      <name val="Arial"/>
      <family val="2"/>
      <scheme val="minor"/>
    </font>
    <font>
      <sz val="10"/>
      <color theme="3"/>
      <name val="Avenir Next"/>
    </font>
    <font>
      <b/>
      <sz val="10"/>
      <color theme="3"/>
      <name val="Arial"/>
      <family val="2"/>
      <scheme val="minor"/>
    </font>
    <font>
      <b/>
      <sz val="10"/>
      <color theme="1"/>
      <name val="Arial"/>
      <family val="2"/>
      <scheme val="minor"/>
    </font>
    <font>
      <b/>
      <sz val="10"/>
      <name val="Arial"/>
      <family val="2"/>
      <scheme val="minor"/>
    </font>
    <font>
      <sz val="14"/>
      <color theme="1"/>
      <name val="Avenir Next"/>
    </font>
    <font>
      <i/>
      <sz val="8"/>
      <color rgb="FFFF0000"/>
      <name val="Arial"/>
      <family val="2"/>
      <scheme val="minor"/>
    </font>
    <font>
      <b/>
      <sz val="8"/>
      <color rgb="FFFF0000"/>
      <name val="Arial"/>
      <family val="2"/>
      <scheme val="minor"/>
    </font>
    <font>
      <b/>
      <strike/>
      <sz val="8"/>
      <color rgb="FFFF0000"/>
      <name val="Arial"/>
      <family val="2"/>
      <scheme val="minor"/>
    </font>
    <font>
      <b/>
      <sz val="14"/>
      <color theme="0"/>
      <name val="Arial"/>
      <family val="2"/>
      <scheme val="minor"/>
    </font>
    <font>
      <b/>
      <sz val="14"/>
      <color rgb="FFFFFFFF"/>
      <name val="Arial"/>
      <family val="2"/>
      <scheme val="minor"/>
    </font>
    <font>
      <sz val="10"/>
      <color theme="4"/>
      <name val="Avenir Next"/>
    </font>
    <font>
      <b/>
      <sz val="10"/>
      <color theme="4"/>
      <name val="Arial"/>
      <family val="2"/>
      <scheme val="minor"/>
    </font>
    <font>
      <b/>
      <sz val="8"/>
      <color theme="0"/>
      <name val="Arial"/>
      <family val="2"/>
      <scheme val="minor"/>
    </font>
    <font>
      <sz val="10"/>
      <color theme="3"/>
      <name val="Arial"/>
      <family val="2"/>
      <scheme val="minor"/>
    </font>
    <font>
      <sz val="6.5"/>
      <color rgb="FF000000"/>
      <name val="Arial"/>
      <family val="2"/>
      <scheme val="minor"/>
    </font>
    <font>
      <b/>
      <sz val="6.5"/>
      <color rgb="FF000000"/>
      <name val="Arial"/>
      <family val="2"/>
      <scheme val="minor"/>
    </font>
    <font>
      <sz val="10"/>
      <color theme="1"/>
      <name val="Arial"/>
      <family val="2"/>
      <scheme val="minor"/>
    </font>
    <font>
      <i/>
      <sz val="8"/>
      <color theme="1"/>
      <name val="Arial"/>
      <family val="2"/>
      <scheme val="minor"/>
    </font>
    <font>
      <i/>
      <sz val="8"/>
      <color rgb="FF000000"/>
      <name val="Arial"/>
      <family val="2"/>
      <scheme val="minor"/>
    </font>
    <font>
      <strike/>
      <sz val="8"/>
      <color rgb="FFC00000"/>
      <name val="Arial"/>
      <family val="2"/>
      <scheme val="minor"/>
    </font>
    <font>
      <strike/>
      <sz val="8"/>
      <color rgb="FFFF0000"/>
      <name val="Arial"/>
      <family val="2"/>
      <scheme val="minor"/>
    </font>
    <font>
      <b/>
      <sz val="12"/>
      <color theme="1"/>
      <name val="Avenir Next"/>
    </font>
    <font>
      <sz val="12"/>
      <color theme="1"/>
      <name val="Avenir Next"/>
    </font>
    <font>
      <b/>
      <sz val="12"/>
      <color theme="3"/>
      <name val="Avenir Next"/>
    </font>
    <font>
      <b/>
      <sz val="14"/>
      <color theme="0"/>
      <name val="Avenir Next"/>
    </font>
    <font>
      <sz val="10"/>
      <color theme="1"/>
      <name val="Arial"/>
      <family val="2"/>
      <scheme val="major"/>
    </font>
  </fonts>
  <fills count="9">
    <fill>
      <patternFill patternType="none"/>
    </fill>
    <fill>
      <patternFill patternType="gray125"/>
    </fill>
    <fill>
      <patternFill patternType="solid">
        <fgColor theme="2"/>
        <bgColor indexed="64"/>
      </patternFill>
    </fill>
    <fill>
      <patternFill patternType="solid">
        <fgColor theme="1" tint="0.34998626667073579"/>
        <bgColor indexed="64"/>
      </patternFill>
    </fill>
    <fill>
      <patternFill patternType="solid">
        <fgColor theme="0"/>
        <bgColor indexed="64"/>
      </patternFill>
    </fill>
    <fill>
      <patternFill patternType="solid">
        <fgColor rgb="FF3C1D73"/>
        <bgColor indexed="64"/>
      </patternFill>
    </fill>
    <fill>
      <patternFill patternType="solid">
        <fgColor theme="5"/>
        <bgColor indexed="64"/>
      </patternFill>
    </fill>
    <fill>
      <patternFill patternType="solid">
        <fgColor theme="3"/>
        <bgColor indexed="64"/>
      </patternFill>
    </fill>
    <fill>
      <patternFill patternType="solid">
        <fgColor theme="5"/>
        <bgColor auto="1"/>
      </patternFill>
    </fill>
  </fills>
  <borders count="13">
    <border>
      <left/>
      <right/>
      <top/>
      <bottom/>
      <diagonal/>
    </border>
    <border>
      <left/>
      <right style="thin">
        <color indexed="64"/>
      </right>
      <top/>
      <bottom/>
      <diagonal/>
    </border>
    <border>
      <left style="thin">
        <color theme="5"/>
      </left>
      <right style="thin">
        <color theme="5"/>
      </right>
      <top style="thin">
        <color theme="5"/>
      </top>
      <bottom style="thin">
        <color theme="5"/>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5"/>
      </left>
      <right style="thin">
        <color theme="5"/>
      </right>
      <top/>
      <bottom style="thin">
        <color theme="5"/>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2">
    <xf numFmtId="0" fontId="0" fillId="0" borderId="0"/>
    <xf numFmtId="0" fontId="2" fillId="0" borderId="0" applyNumberFormat="0" applyFill="0" applyBorder="0" applyAlignment="0" applyProtection="0"/>
  </cellStyleXfs>
  <cellXfs count="105">
    <xf numFmtId="0" fontId="0" fillId="0" borderId="0" xfId="0"/>
    <xf numFmtId="0" fontId="3" fillId="5" borderId="0" xfId="0" applyFont="1" applyFill="1" applyAlignment="1">
      <alignment horizontal="center" vertical="center"/>
    </xf>
    <xf numFmtId="0" fontId="3" fillId="5" borderId="1" xfId="0" applyFont="1" applyFill="1" applyBorder="1" applyAlignment="1">
      <alignment horizontal="center" vertical="center"/>
    </xf>
    <xf numFmtId="0" fontId="4" fillId="0" borderId="0" xfId="0" applyFont="1"/>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4" fillId="0" borderId="0" xfId="0" applyFont="1" applyAlignment="1">
      <alignment vertical="center"/>
    </xf>
    <xf numFmtId="0" fontId="5" fillId="5" borderId="0" xfId="0" applyFont="1" applyFill="1" applyAlignment="1">
      <alignment horizontal="center" vertical="center"/>
    </xf>
    <xf numFmtId="0" fontId="5" fillId="5" borderId="1" xfId="0" applyFont="1" applyFill="1" applyBorder="1" applyAlignment="1">
      <alignment horizontal="center" vertical="center"/>
    </xf>
    <xf numFmtId="0" fontId="8" fillId="0" borderId="0" xfId="0" applyFont="1"/>
    <xf numFmtId="0" fontId="4" fillId="4" borderId="0" xfId="0" applyFont="1" applyFill="1"/>
    <xf numFmtId="0" fontId="10" fillId="4" borderId="0" xfId="0" applyFont="1" applyFill="1" applyAlignment="1">
      <alignment horizontal="center" vertical="center"/>
    </xf>
    <xf numFmtId="0" fontId="8" fillId="4" borderId="0" xfId="0" applyFont="1" applyFill="1"/>
    <xf numFmtId="0" fontId="8" fillId="4" borderId="0" xfId="0" applyFont="1" applyFill="1" applyAlignment="1">
      <alignment vertical="center"/>
    </xf>
    <xf numFmtId="0" fontId="8" fillId="0" borderId="0" xfId="0" applyFont="1" applyAlignment="1">
      <alignment vertical="center"/>
    </xf>
    <xf numFmtId="0" fontId="8" fillId="4" borderId="0" xfId="0" applyFont="1" applyFill="1" applyAlignment="1">
      <alignment vertical="top"/>
    </xf>
    <xf numFmtId="0" fontId="21" fillId="6" borderId="2" xfId="0" applyFont="1" applyFill="1" applyBorder="1" applyAlignment="1">
      <alignment horizontal="left" vertical="center"/>
    </xf>
    <xf numFmtId="0" fontId="21" fillId="2" borderId="2"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23" fillId="2" borderId="2" xfId="0" applyFont="1" applyFill="1" applyBorder="1" applyAlignment="1">
      <alignment horizontal="left" vertical="center" wrapText="1"/>
    </xf>
    <xf numFmtId="0" fontId="4" fillId="0" borderId="4" xfId="0" applyFont="1" applyBorder="1"/>
    <xf numFmtId="0" fontId="3" fillId="0" borderId="0" xfId="0" applyFont="1" applyAlignment="1">
      <alignment horizontal="center" vertical="center"/>
    </xf>
    <xf numFmtId="0" fontId="3" fillId="0" borderId="1" xfId="0" applyFont="1" applyBorder="1" applyAlignment="1">
      <alignment horizontal="center" vertical="center"/>
    </xf>
    <xf numFmtId="0" fontId="20" fillId="0" borderId="0" xfId="0" applyFont="1"/>
    <xf numFmtId="0" fontId="6" fillId="0" borderId="0" xfId="0" applyFont="1" applyAlignment="1">
      <alignment vertical="center"/>
    </xf>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2" fillId="0" borderId="2" xfId="0" applyFont="1" applyBorder="1" applyAlignment="1">
      <alignment horizontal="left" vertical="top" wrapText="1"/>
    </xf>
    <xf numFmtId="0" fontId="17" fillId="0" borderId="2" xfId="0" applyFont="1" applyBorder="1" applyAlignment="1">
      <alignment horizontal="left" vertical="top"/>
    </xf>
    <xf numFmtId="0" fontId="12" fillId="0" borderId="2" xfId="0" applyFont="1" applyBorder="1" applyAlignment="1">
      <alignment horizontal="left" vertical="top"/>
    </xf>
    <xf numFmtId="0" fontId="20" fillId="0" borderId="0" xfId="0" applyFont="1" applyAlignment="1">
      <alignment vertical="center"/>
    </xf>
    <xf numFmtId="0" fontId="4" fillId="0" borderId="0" xfId="0" applyFont="1" applyAlignment="1">
      <alignment horizontal="left" vertical="top"/>
    </xf>
    <xf numFmtId="0" fontId="9" fillId="0" borderId="0" xfId="0" applyFont="1"/>
    <xf numFmtId="0" fontId="1" fillId="0" borderId="2" xfId="0" applyFont="1" applyBorder="1" applyAlignment="1">
      <alignment horizontal="left" vertical="top" wrapText="1"/>
    </xf>
    <xf numFmtId="0" fontId="19" fillId="0" borderId="2" xfId="0" applyFont="1" applyBorder="1" applyAlignment="1">
      <alignment horizontal="left" vertical="top" wrapText="1"/>
    </xf>
    <xf numFmtId="0" fontId="24" fillId="0" borderId="0" xfId="0" applyFont="1" applyAlignment="1">
      <alignment horizontal="left"/>
    </xf>
    <xf numFmtId="0" fontId="11" fillId="0" borderId="2" xfId="0" applyFont="1" applyBorder="1" applyAlignment="1">
      <alignment horizontal="left" vertical="top" wrapText="1"/>
    </xf>
    <xf numFmtId="0" fontId="21" fillId="2" borderId="2" xfId="0" applyFont="1" applyFill="1" applyBorder="1" applyAlignment="1">
      <alignment horizontal="left" vertical="center"/>
    </xf>
    <xf numFmtId="0" fontId="20" fillId="0" borderId="0" xfId="0" applyFont="1" applyAlignment="1">
      <alignment horizontal="left" vertical="center"/>
    </xf>
    <xf numFmtId="0" fontId="7" fillId="0" borderId="0" xfId="0" applyFont="1" applyAlignment="1">
      <alignment horizontal="left" vertical="top"/>
    </xf>
    <xf numFmtId="0" fontId="4" fillId="0" borderId="0" xfId="0" applyFont="1" applyAlignment="1">
      <alignment vertical="top" wrapText="1"/>
    </xf>
    <xf numFmtId="0" fontId="12" fillId="0" borderId="2" xfId="0" applyFont="1" applyBorder="1" applyAlignment="1">
      <alignment vertical="top" wrapText="1"/>
    </xf>
    <xf numFmtId="0" fontId="14" fillId="0" borderId="2" xfId="0" applyFont="1" applyBorder="1" applyAlignment="1">
      <alignment vertical="top" wrapText="1"/>
    </xf>
    <xf numFmtId="0" fontId="12" fillId="0" borderId="2" xfId="0" applyFont="1" applyBorder="1" applyAlignment="1">
      <alignment vertical="top"/>
    </xf>
    <xf numFmtId="0" fontId="11" fillId="0" borderId="2" xfId="0" applyFont="1" applyBorder="1" applyAlignment="1">
      <alignment vertical="top" wrapText="1"/>
    </xf>
    <xf numFmtId="0" fontId="17" fillId="0" borderId="2" xfId="0" applyFont="1" applyBorder="1" applyAlignment="1">
      <alignment vertical="top"/>
    </xf>
    <xf numFmtId="0" fontId="13" fillId="0" borderId="2" xfId="0" applyFont="1" applyBorder="1" applyAlignment="1">
      <alignment vertical="top" wrapText="1"/>
    </xf>
    <xf numFmtId="0" fontId="21" fillId="6" borderId="2" xfId="0" applyFont="1" applyFill="1" applyBorder="1" applyAlignment="1">
      <alignment vertical="center"/>
    </xf>
    <xf numFmtId="0" fontId="21" fillId="2" borderId="2" xfId="0" applyFont="1" applyFill="1" applyBorder="1" applyAlignment="1">
      <alignment vertical="center" wrapText="1"/>
    </xf>
    <xf numFmtId="0" fontId="30" fillId="0" borderId="0" xfId="0" applyFont="1" applyAlignment="1">
      <alignment vertical="center"/>
    </xf>
    <xf numFmtId="0" fontId="1" fillId="0" borderId="2" xfId="0" applyFont="1" applyBorder="1" applyAlignment="1">
      <alignment vertical="top" wrapText="1"/>
    </xf>
    <xf numFmtId="0" fontId="1" fillId="0" borderId="2" xfId="0" applyFont="1" applyBorder="1" applyAlignment="1">
      <alignment vertical="top"/>
    </xf>
    <xf numFmtId="0" fontId="25" fillId="0" borderId="2" xfId="0" applyFont="1" applyBorder="1" applyAlignment="1">
      <alignment vertical="top" wrapText="1"/>
    </xf>
    <xf numFmtId="0" fontId="17" fillId="0" borderId="2" xfId="0" applyFont="1" applyBorder="1" applyAlignment="1">
      <alignment vertical="top" wrapText="1"/>
    </xf>
    <xf numFmtId="0" fontId="31" fillId="6" borderId="2" xfId="0" applyFont="1" applyFill="1" applyBorder="1" applyAlignment="1">
      <alignment vertical="center"/>
    </xf>
    <xf numFmtId="0" fontId="31" fillId="2" borderId="2" xfId="0" applyFont="1" applyFill="1" applyBorder="1" applyAlignment="1">
      <alignment vertical="center" wrapText="1"/>
    </xf>
    <xf numFmtId="0" fontId="12" fillId="0" borderId="0" xfId="0" applyFont="1"/>
    <xf numFmtId="0" fontId="3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center" vertical="center"/>
    </xf>
    <xf numFmtId="0" fontId="33" fillId="0" borderId="0" xfId="0" applyFont="1" applyAlignment="1">
      <alignment horizontal="left" vertical="center"/>
    </xf>
    <xf numFmtId="0" fontId="34" fillId="0" borderId="2" xfId="0" applyFont="1" applyBorder="1" applyAlignment="1">
      <alignment vertical="top" wrapText="1"/>
    </xf>
    <xf numFmtId="0" fontId="12" fillId="4" borderId="0" xfId="0" applyFont="1" applyFill="1" applyAlignment="1">
      <alignment horizontal="left" vertical="center"/>
    </xf>
    <xf numFmtId="0" fontId="12" fillId="0" borderId="0" xfId="0" applyFont="1" applyAlignment="1">
      <alignment horizontal="left" vertical="center"/>
    </xf>
    <xf numFmtId="0" fontId="32" fillId="5" borderId="0" xfId="0" applyFont="1" applyFill="1" applyAlignment="1">
      <alignment horizontal="left" vertical="center"/>
    </xf>
    <xf numFmtId="0" fontId="32" fillId="5" borderId="1" xfId="0" applyFont="1" applyFill="1" applyBorder="1" applyAlignment="1">
      <alignment horizontal="left" vertical="center"/>
    </xf>
    <xf numFmtId="0" fontId="36" fillId="4" borderId="0" xfId="0" applyFont="1" applyFill="1" applyAlignment="1">
      <alignment horizontal="left" vertical="center"/>
    </xf>
    <xf numFmtId="0" fontId="36" fillId="0" borderId="0" xfId="0" applyFont="1" applyAlignment="1">
      <alignment horizontal="left" vertical="center"/>
    </xf>
    <xf numFmtId="0" fontId="33" fillId="4" borderId="0" xfId="0" applyFont="1" applyFill="1" applyAlignment="1">
      <alignment horizontal="left" vertical="center"/>
    </xf>
    <xf numFmtId="0" fontId="17" fillId="0" borderId="2" xfId="0" applyFont="1" applyBorder="1" applyAlignment="1">
      <alignment horizontal="left" vertical="top" wrapText="1"/>
    </xf>
    <xf numFmtId="0" fontId="43" fillId="2" borderId="2" xfId="0" applyFont="1" applyFill="1" applyBorder="1" applyAlignment="1">
      <alignment horizontal="left" vertical="center"/>
    </xf>
    <xf numFmtId="0" fontId="42" fillId="0" borderId="2" xfId="0" applyFont="1" applyBorder="1" applyAlignment="1">
      <alignment horizontal="left" vertical="top"/>
    </xf>
    <xf numFmtId="0" fontId="43" fillId="6" borderId="6" xfId="0" applyFont="1" applyFill="1" applyBorder="1" applyAlignment="1">
      <alignment horizontal="left"/>
    </xf>
    <xf numFmtId="0" fontId="43" fillId="8" borderId="6" xfId="1" applyFont="1" applyFill="1" applyBorder="1" applyAlignment="1">
      <alignment horizontal="left" wrapText="1"/>
    </xf>
    <xf numFmtId="0" fontId="1" fillId="2" borderId="2" xfId="0" applyFont="1" applyFill="1" applyBorder="1" applyAlignment="1">
      <alignment horizontal="left" vertical="top" wrapText="1"/>
    </xf>
    <xf numFmtId="0" fontId="12" fillId="2" borderId="2" xfId="0" applyFont="1" applyFill="1" applyBorder="1" applyAlignment="1">
      <alignment horizontal="left" vertical="top" wrapText="1"/>
    </xf>
    <xf numFmtId="0" fontId="12" fillId="2" borderId="2" xfId="0" applyFont="1" applyFill="1" applyBorder="1" applyAlignment="1">
      <alignment vertical="top" wrapText="1"/>
    </xf>
    <xf numFmtId="0" fontId="14" fillId="2" borderId="2" xfId="0" applyFont="1" applyFill="1" applyBorder="1" applyAlignment="1">
      <alignment horizontal="left" vertical="top" wrapText="1"/>
    </xf>
    <xf numFmtId="0" fontId="17" fillId="2" borderId="2" xfId="0" applyFont="1" applyFill="1" applyBorder="1" applyAlignment="1">
      <alignment horizontal="left" vertical="top" wrapText="1"/>
    </xf>
    <xf numFmtId="0" fontId="6" fillId="4" borderId="0" xfId="0" applyFont="1" applyFill="1"/>
    <xf numFmtId="0" fontId="45" fillId="4" borderId="0" xfId="0" applyFont="1" applyFill="1"/>
    <xf numFmtId="0" fontId="36" fillId="0" borderId="0" xfId="0" applyFont="1"/>
    <xf numFmtId="0" fontId="41" fillId="0" borderId="2" xfId="0" applyFont="1" applyBorder="1" applyAlignment="1">
      <alignment horizontal="left" vertical="top"/>
    </xf>
    <xf numFmtId="0" fontId="44" fillId="7" borderId="7" xfId="0" applyFont="1" applyFill="1" applyBorder="1" applyAlignment="1">
      <alignment horizontal="left" vertical="center"/>
    </xf>
    <xf numFmtId="0" fontId="44" fillId="7" borderId="8" xfId="0" applyFont="1" applyFill="1" applyBorder="1" applyAlignment="1">
      <alignment horizontal="left" vertical="center"/>
    </xf>
    <xf numFmtId="0" fontId="44" fillId="7" borderId="9" xfId="0" applyFont="1" applyFill="1" applyBorder="1" applyAlignment="1">
      <alignment horizontal="left" vertical="center"/>
    </xf>
    <xf numFmtId="0" fontId="44" fillId="7" borderId="10" xfId="0" applyFont="1" applyFill="1" applyBorder="1" applyAlignment="1">
      <alignment horizontal="left" vertical="center"/>
    </xf>
    <xf numFmtId="0" fontId="44" fillId="7" borderId="11" xfId="0" applyFont="1" applyFill="1" applyBorder="1" applyAlignment="1">
      <alignment horizontal="left" vertical="center"/>
    </xf>
    <xf numFmtId="0" fontId="44" fillId="7" borderId="12" xfId="0" applyFont="1" applyFill="1" applyBorder="1" applyAlignment="1">
      <alignment horizontal="left" vertical="center"/>
    </xf>
    <xf numFmtId="0" fontId="43" fillId="8" borderId="6" xfId="1" applyFont="1" applyFill="1" applyBorder="1" applyAlignment="1">
      <alignment horizontal="left" wrapText="1"/>
    </xf>
    <xf numFmtId="0" fontId="43" fillId="8" borderId="6" xfId="0" applyFont="1" applyFill="1" applyBorder="1" applyAlignment="1">
      <alignment horizontal="left" wrapText="1"/>
    </xf>
    <xf numFmtId="0" fontId="29" fillId="7" borderId="3" xfId="0" applyFont="1" applyFill="1" applyBorder="1" applyAlignment="1">
      <alignment horizontal="left" vertical="center"/>
    </xf>
    <xf numFmtId="0" fontId="29" fillId="7" borderId="4" xfId="0" applyFont="1" applyFill="1" applyBorder="1" applyAlignment="1">
      <alignment horizontal="left" vertical="center"/>
    </xf>
    <xf numFmtId="0" fontId="12" fillId="0" borderId="2" xfId="0" applyFont="1" applyBorder="1" applyAlignment="1">
      <alignment horizontal="center" vertical="center" wrapText="1"/>
    </xf>
    <xf numFmtId="0" fontId="28" fillId="5" borderId="3" xfId="0" applyFont="1" applyFill="1" applyBorder="1" applyAlignment="1">
      <alignment horizontal="left" vertical="center"/>
    </xf>
    <xf numFmtId="0" fontId="28" fillId="5" borderId="4" xfId="0" applyFont="1" applyFill="1" applyBorder="1" applyAlignment="1">
      <alignment horizontal="left" vertical="center"/>
    </xf>
    <xf numFmtId="0" fontId="28" fillId="5" borderId="5" xfId="0" applyFont="1" applyFill="1" applyBorder="1" applyAlignment="1">
      <alignment horizontal="left" vertical="center"/>
    </xf>
    <xf numFmtId="0" fontId="28" fillId="7" borderId="3" xfId="0" applyFont="1" applyFill="1" applyBorder="1" applyAlignment="1">
      <alignment horizontal="left" vertical="center"/>
    </xf>
    <xf numFmtId="0" fontId="28" fillId="7" borderId="4" xfId="0" applyFont="1" applyFill="1" applyBorder="1" applyAlignment="1">
      <alignment horizontal="left" vertical="center"/>
    </xf>
    <xf numFmtId="0" fontId="28" fillId="7" borderId="5" xfId="0" applyFont="1" applyFill="1" applyBorder="1" applyAlignment="1">
      <alignment horizontal="left" vertical="center"/>
    </xf>
    <xf numFmtId="0" fontId="1" fillId="0" borderId="2" xfId="0" applyFont="1" applyBorder="1" applyAlignment="1">
      <alignment horizontal="center" vertical="center" wrapText="1"/>
    </xf>
    <xf numFmtId="0" fontId="3" fillId="3" borderId="0" xfId="0" applyFont="1" applyFill="1" applyAlignment="1">
      <alignment horizontal="left" vertical="center"/>
    </xf>
    <xf numFmtId="0" fontId="12" fillId="4" borderId="2" xfId="0" applyFont="1" applyFill="1" applyBorder="1" applyAlignment="1">
      <alignment vertical="top" wrapText="1"/>
    </xf>
  </cellXfs>
  <cellStyles count="2">
    <cellStyle name="Link" xfId="1" builtinId="8"/>
    <cellStyle name="Standard" xfId="0" builtinId="0"/>
  </cellStyles>
  <dxfs count="181">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DBD7F5"/>
      <color rgb="FF7F50D3"/>
      <color rgb="FF3C1D73"/>
      <color rgb="FF1E0E3A"/>
      <color rgb="FF5529A3"/>
      <color rgb="FF948F0E"/>
      <color rgb="FFE7FDF7"/>
      <color rgb="FFAFFAE6"/>
      <color rgb="FFD2C2F0"/>
      <color rgb="FFB79D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Design">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6" dT="2025-11-21T13:59:44.75" personId="{00000000-0000-0000-0000-000000000000}" id="{12CAB7F8-F563-4525-A054-7D6328AC7EA5}">
    <text>Fehlenden Text ergänzen</text>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5-11-21T14:34:52.96" personId="{00000000-0000-0000-0000-000000000000}" id="{D8A9A6BD-8C16-4A99-80B4-4BDBCE6E0800}">
    <text>Referenzen zentrieren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22EF-1DC5-4C1A-A8C7-59AB06FEB6D0}">
  <dimension ref="A1:FQ252"/>
  <sheetViews>
    <sheetView zoomScale="115" zoomScaleNormal="115" workbookViewId="0">
      <selection activeCell="C26" sqref="C26"/>
    </sheetView>
  </sheetViews>
  <sheetFormatPr baseColWidth="10" defaultColWidth="9" defaultRowHeight="14.25"/>
  <cols>
    <col min="1" max="1" width="5" style="3" customWidth="1"/>
    <col min="2" max="2" width="26.75" style="3" customWidth="1"/>
    <col min="3" max="5" width="15.5" style="3" customWidth="1"/>
    <col min="6" max="6" width="18.25" style="3" customWidth="1"/>
    <col min="7" max="14" width="15.5" style="3" customWidth="1"/>
    <col min="15" max="15" width="5" style="12" customWidth="1"/>
    <col min="16" max="173" width="9" style="12"/>
    <col min="174" max="16384" width="9" style="3"/>
  </cols>
  <sheetData>
    <row r="1" spans="1:173" s="12" customFormat="1" ht="14.45" customHeight="1">
      <c r="B1" s="13"/>
      <c r="C1" s="13"/>
      <c r="D1" s="13"/>
      <c r="E1" s="13"/>
      <c r="F1" s="13"/>
      <c r="G1" s="13"/>
      <c r="H1" s="13"/>
      <c r="I1" s="13"/>
      <c r="J1" s="13"/>
      <c r="K1" s="13"/>
      <c r="L1" s="13"/>
      <c r="M1" s="13"/>
      <c r="N1" s="13"/>
    </row>
    <row r="2" spans="1:173" s="12" customFormat="1" ht="14.45" customHeight="1">
      <c r="B2" s="13"/>
      <c r="C2" s="13"/>
      <c r="D2" s="13"/>
      <c r="E2" s="13"/>
      <c r="F2" s="13"/>
      <c r="G2" s="13"/>
      <c r="H2" s="13"/>
      <c r="I2" s="13"/>
      <c r="J2" s="13"/>
      <c r="K2" s="13"/>
      <c r="L2" s="13"/>
      <c r="M2" s="13"/>
      <c r="N2" s="13"/>
    </row>
    <row r="3" spans="1:173" s="12" customFormat="1" ht="15">
      <c r="B3" s="14"/>
    </row>
    <row r="4" spans="1:173">
      <c r="A4" s="12"/>
      <c r="B4" s="85" t="s">
        <v>0</v>
      </c>
      <c r="C4" s="86"/>
      <c r="D4" s="86"/>
      <c r="E4" s="86"/>
      <c r="F4" s="86"/>
      <c r="G4" s="86"/>
      <c r="H4" s="86"/>
      <c r="I4" s="86"/>
      <c r="J4" s="86"/>
      <c r="K4" s="86"/>
      <c r="L4" s="86"/>
      <c r="M4" s="86"/>
      <c r="N4" s="87"/>
    </row>
    <row r="5" spans="1:173">
      <c r="A5" s="12"/>
      <c r="B5" s="88"/>
      <c r="C5" s="89"/>
      <c r="D5" s="89"/>
      <c r="E5" s="89"/>
      <c r="F5" s="89"/>
      <c r="G5" s="89"/>
      <c r="H5" s="89"/>
      <c r="I5" s="89"/>
      <c r="J5" s="89"/>
      <c r="K5" s="89"/>
      <c r="L5" s="89"/>
      <c r="M5" s="89"/>
      <c r="N5" s="90"/>
    </row>
    <row r="6" spans="1:173" s="16" customFormat="1" ht="36" customHeight="1">
      <c r="A6" s="15"/>
      <c r="B6" s="74" t="s">
        <v>1</v>
      </c>
      <c r="C6" s="91" t="str">
        <f>HYPERLINK("#'Daten'!A1", "Datenqualität, -schutz und -Governance")</f>
        <v>Datenqualität, -schutz und -Governance</v>
      </c>
      <c r="D6" s="91"/>
      <c r="E6" s="91"/>
      <c r="F6" s="75" t="str">
        <f>HYPERLINK("#'Nicht-Diskriminierung'!A1", "Nicht-
Diskriminierung")</f>
        <v>Nicht-
Diskriminierung</v>
      </c>
      <c r="G6" s="91" t="str">
        <f>HYPERLINK("#'Transparenz'!A1", "Transparenz")</f>
        <v>Transparenz</v>
      </c>
      <c r="H6" s="91"/>
      <c r="I6" s="91" t="str">
        <f>HYPERLINK("#'Menschliche Aufsicht'!A1", "Menschliche Aufsicht und Kontrolle")</f>
        <v>Menschliche Aufsicht und Kontrolle</v>
      </c>
      <c r="J6" s="91"/>
      <c r="K6" s="91" t="str">
        <f>HYPERLINK("#'Verlässlichkeit'!A1", "Verlässlichkeit")</f>
        <v>Verlässlichkeit</v>
      </c>
      <c r="L6" s="92"/>
      <c r="M6" s="91" t="str">
        <f>HYPERLINK("#'Cybersicherheit'!A1", "KI-spezifische Cybersicherheit")</f>
        <v>KI-spezifische Cybersicherheit</v>
      </c>
      <c r="N6" s="91"/>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row>
    <row r="7" spans="1:173" ht="25.5" customHeight="1">
      <c r="A7" s="12"/>
      <c r="B7" s="72" t="s">
        <v>2</v>
      </c>
      <c r="C7" s="72" t="s">
        <v>3</v>
      </c>
      <c r="D7" s="72" t="s">
        <v>4</v>
      </c>
      <c r="E7" s="72" t="s">
        <v>5</v>
      </c>
      <c r="F7" s="72" t="s">
        <v>6</v>
      </c>
      <c r="G7" s="72" t="s">
        <v>7</v>
      </c>
      <c r="H7" s="72" t="s">
        <v>8</v>
      </c>
      <c r="I7" s="72" t="s">
        <v>9</v>
      </c>
      <c r="J7" s="72" t="s">
        <v>10</v>
      </c>
      <c r="K7" s="72" t="s">
        <v>11</v>
      </c>
      <c r="L7" s="72" t="s">
        <v>12</v>
      </c>
      <c r="M7" s="72" t="s">
        <v>13</v>
      </c>
      <c r="N7" s="72" t="s">
        <v>14</v>
      </c>
      <c r="FI7" s="3"/>
      <c r="FJ7" s="3"/>
      <c r="FK7" s="3"/>
      <c r="FL7" s="3"/>
      <c r="FM7" s="3"/>
      <c r="FN7" s="3"/>
      <c r="FO7" s="3"/>
      <c r="FP7" s="3"/>
      <c r="FQ7" s="3"/>
    </row>
    <row r="8" spans="1:173" ht="15.95" customHeight="1">
      <c r="A8" s="12"/>
      <c r="B8" s="84" t="s">
        <v>15</v>
      </c>
      <c r="C8" s="73" t="s">
        <v>16</v>
      </c>
      <c r="D8" s="73" t="s">
        <v>17</v>
      </c>
      <c r="E8" s="73" t="s">
        <v>18</v>
      </c>
      <c r="F8" s="73" t="s">
        <v>19</v>
      </c>
      <c r="G8" s="73" t="s">
        <v>20</v>
      </c>
      <c r="H8" s="73" t="s">
        <v>21</v>
      </c>
      <c r="I8" s="73" t="s">
        <v>22</v>
      </c>
      <c r="J8" s="73" t="s">
        <v>23</v>
      </c>
      <c r="K8" s="73" t="s">
        <v>24</v>
      </c>
      <c r="L8" s="73" t="s">
        <v>25</v>
      </c>
      <c r="M8" s="73" t="s">
        <v>26</v>
      </c>
      <c r="N8" s="73" t="s">
        <v>27</v>
      </c>
      <c r="FI8" s="3"/>
      <c r="FJ8" s="3"/>
      <c r="FK8" s="3"/>
      <c r="FL8" s="3"/>
      <c r="FM8" s="3"/>
      <c r="FN8" s="3"/>
      <c r="FO8" s="3"/>
      <c r="FP8" s="3"/>
      <c r="FQ8" s="3"/>
    </row>
    <row r="9" spans="1:173" ht="15.95" customHeight="1">
      <c r="A9" s="12"/>
      <c r="B9" s="84"/>
      <c r="C9" s="73" t="s">
        <v>28</v>
      </c>
      <c r="D9" s="73" t="s">
        <v>29</v>
      </c>
      <c r="E9" s="73" t="s">
        <v>30</v>
      </c>
      <c r="F9" s="73" t="s">
        <v>31</v>
      </c>
      <c r="G9" s="73" t="s">
        <v>32</v>
      </c>
      <c r="H9" s="73" t="s">
        <v>33</v>
      </c>
      <c r="I9" s="73" t="s">
        <v>34</v>
      </c>
      <c r="J9" s="73" t="s">
        <v>35</v>
      </c>
      <c r="K9" s="73" t="s">
        <v>36</v>
      </c>
      <c r="L9" s="73" t="s">
        <v>37</v>
      </c>
      <c r="M9" s="73" t="s">
        <v>38</v>
      </c>
      <c r="N9" s="73" t="s">
        <v>39</v>
      </c>
      <c r="FI9" s="3"/>
      <c r="FJ9" s="3"/>
      <c r="FK9" s="3"/>
      <c r="FL9" s="3"/>
      <c r="FM9" s="3"/>
      <c r="FN9" s="3"/>
      <c r="FO9" s="3"/>
      <c r="FP9" s="3"/>
      <c r="FQ9" s="3"/>
    </row>
    <row r="10" spans="1:173" ht="15.95" customHeight="1">
      <c r="A10" s="12"/>
      <c r="B10" s="84"/>
      <c r="C10" s="73" t="s">
        <v>40</v>
      </c>
      <c r="D10" s="73" t="s">
        <v>41</v>
      </c>
      <c r="E10" s="73" t="s">
        <v>42</v>
      </c>
      <c r="F10" s="73" t="s">
        <v>43</v>
      </c>
      <c r="G10" s="73" t="s">
        <v>44</v>
      </c>
      <c r="H10" s="73" t="s">
        <v>45</v>
      </c>
      <c r="I10" s="73" t="s">
        <v>46</v>
      </c>
      <c r="J10" s="73" t="s">
        <v>47</v>
      </c>
      <c r="K10" s="73" t="s">
        <v>48</v>
      </c>
      <c r="L10" s="73" t="s">
        <v>49</v>
      </c>
      <c r="M10" s="73" t="s">
        <v>50</v>
      </c>
      <c r="N10" s="73" t="s">
        <v>51</v>
      </c>
      <c r="FI10" s="3"/>
      <c r="FJ10" s="3"/>
      <c r="FK10" s="3"/>
      <c r="FL10" s="3"/>
      <c r="FM10" s="3"/>
      <c r="FN10" s="3"/>
      <c r="FO10" s="3"/>
      <c r="FP10" s="3"/>
      <c r="FQ10" s="3"/>
    </row>
    <row r="11" spans="1:173" ht="15.95" customHeight="1">
      <c r="A11" s="12"/>
      <c r="B11" s="84"/>
      <c r="C11" s="73" t="s">
        <v>52</v>
      </c>
      <c r="D11" s="73" t="s">
        <v>53</v>
      </c>
      <c r="E11" s="73" t="s">
        <v>54</v>
      </c>
      <c r="F11" s="73" t="s">
        <v>55</v>
      </c>
      <c r="G11" s="73" t="s">
        <v>56</v>
      </c>
      <c r="H11" s="73" t="s">
        <v>57</v>
      </c>
      <c r="I11" s="73" t="s">
        <v>58</v>
      </c>
      <c r="J11" s="73" t="s">
        <v>59</v>
      </c>
      <c r="K11" s="73" t="s">
        <v>60</v>
      </c>
      <c r="L11" s="73" t="s">
        <v>61</v>
      </c>
      <c r="M11" s="73" t="s">
        <v>62</v>
      </c>
      <c r="N11" s="73" t="s">
        <v>63</v>
      </c>
      <c r="FI11" s="3"/>
      <c r="FJ11" s="3"/>
      <c r="FK11" s="3"/>
      <c r="FL11" s="3"/>
      <c r="FM11" s="3"/>
      <c r="FN11" s="3"/>
      <c r="FO11" s="3"/>
      <c r="FP11" s="3"/>
      <c r="FQ11" s="3"/>
    </row>
    <row r="12" spans="1:173" ht="15.95" customHeight="1">
      <c r="A12" s="12"/>
      <c r="B12" s="84"/>
      <c r="C12" s="73" t="s">
        <v>64</v>
      </c>
      <c r="D12" s="73" t="s">
        <v>65</v>
      </c>
      <c r="E12" s="73" t="s">
        <v>66</v>
      </c>
      <c r="F12" s="73" t="s">
        <v>67</v>
      </c>
      <c r="G12" s="73" t="s">
        <v>68</v>
      </c>
      <c r="H12" s="73"/>
      <c r="I12" s="73" t="s">
        <v>69</v>
      </c>
      <c r="J12" s="73" t="s">
        <v>70</v>
      </c>
      <c r="K12" s="73" t="s">
        <v>71</v>
      </c>
      <c r="L12" s="73" t="s">
        <v>72</v>
      </c>
      <c r="M12" s="73" t="s">
        <v>73</v>
      </c>
      <c r="N12" s="73"/>
      <c r="FI12" s="3"/>
      <c r="FJ12" s="3"/>
      <c r="FK12" s="3"/>
      <c r="FL12" s="3"/>
      <c r="FM12" s="3"/>
      <c r="FN12" s="3"/>
      <c r="FO12" s="3"/>
      <c r="FP12" s="3"/>
      <c r="FQ12" s="3"/>
    </row>
    <row r="13" spans="1:173" ht="15.95" customHeight="1">
      <c r="A13" s="12"/>
      <c r="B13" s="84"/>
      <c r="C13" s="73"/>
      <c r="D13" s="73" t="s">
        <v>74</v>
      </c>
      <c r="E13" s="73" t="s">
        <v>75</v>
      </c>
      <c r="F13" s="73" t="s">
        <v>76</v>
      </c>
      <c r="G13" s="73" t="s">
        <v>77</v>
      </c>
      <c r="H13" s="73"/>
      <c r="I13" s="73" t="s">
        <v>78</v>
      </c>
      <c r="J13" s="73"/>
      <c r="K13" s="73" t="s">
        <v>79</v>
      </c>
      <c r="L13" s="73" t="s">
        <v>80</v>
      </c>
      <c r="M13" s="73" t="s">
        <v>81</v>
      </c>
      <c r="N13" s="73"/>
      <c r="FI13" s="3"/>
      <c r="FJ13" s="3"/>
      <c r="FK13" s="3"/>
      <c r="FL13" s="3"/>
      <c r="FM13" s="3"/>
      <c r="FN13" s="3"/>
      <c r="FO13" s="3"/>
      <c r="FP13" s="3"/>
      <c r="FQ13" s="3"/>
    </row>
    <row r="14" spans="1:173" ht="15.95" customHeight="1">
      <c r="A14" s="12"/>
      <c r="B14" s="84"/>
      <c r="C14" s="73"/>
      <c r="D14" s="73" t="s">
        <v>82</v>
      </c>
      <c r="E14" s="73"/>
      <c r="F14" s="73" t="s">
        <v>83</v>
      </c>
      <c r="G14" s="73" t="s">
        <v>84</v>
      </c>
      <c r="H14" s="73"/>
      <c r="I14" s="73" t="s">
        <v>85</v>
      </c>
      <c r="J14" s="73"/>
      <c r="K14" s="73" t="s">
        <v>86</v>
      </c>
      <c r="L14" s="73" t="s">
        <v>87</v>
      </c>
      <c r="M14" s="73"/>
      <c r="N14" s="73"/>
      <c r="FI14" s="3"/>
      <c r="FJ14" s="3"/>
      <c r="FK14" s="3"/>
      <c r="FL14" s="3"/>
      <c r="FM14" s="3"/>
      <c r="FN14" s="3"/>
      <c r="FO14" s="3"/>
      <c r="FP14" s="3"/>
      <c r="FQ14" s="3"/>
    </row>
    <row r="15" spans="1:173" ht="15.95" customHeight="1">
      <c r="A15" s="12"/>
      <c r="B15" s="84"/>
      <c r="C15" s="73"/>
      <c r="D15" s="73"/>
      <c r="E15" s="73"/>
      <c r="F15" s="73" t="s">
        <v>88</v>
      </c>
      <c r="G15" s="73" t="s">
        <v>89</v>
      </c>
      <c r="H15" s="73"/>
      <c r="I15" s="73"/>
      <c r="J15" s="73"/>
      <c r="K15" s="73"/>
      <c r="L15" s="73"/>
      <c r="M15" s="73"/>
      <c r="N15" s="73"/>
      <c r="FI15" s="3"/>
      <c r="FJ15" s="3"/>
      <c r="FK15" s="3"/>
      <c r="FL15" s="3"/>
      <c r="FM15" s="3"/>
      <c r="FN15" s="3"/>
      <c r="FO15" s="3"/>
      <c r="FP15" s="3"/>
      <c r="FQ15" s="3"/>
    </row>
    <row r="16" spans="1:173" ht="15.95" customHeight="1">
      <c r="A16" s="12"/>
      <c r="B16" s="84"/>
      <c r="C16" s="73"/>
      <c r="D16" s="73"/>
      <c r="E16" s="73"/>
      <c r="F16" s="73" t="s">
        <v>90</v>
      </c>
      <c r="G16" s="73"/>
      <c r="H16" s="73"/>
      <c r="I16" s="73"/>
      <c r="J16" s="73"/>
      <c r="K16" s="73"/>
      <c r="L16" s="73"/>
      <c r="M16" s="73"/>
      <c r="N16" s="73"/>
      <c r="FI16" s="3"/>
      <c r="FJ16" s="3"/>
      <c r="FK16" s="3"/>
      <c r="FL16" s="3"/>
      <c r="FM16" s="3"/>
      <c r="FN16" s="3"/>
      <c r="FO16" s="3"/>
      <c r="FP16" s="3"/>
      <c r="FQ16" s="3"/>
    </row>
    <row r="17" spans="2:14" s="12" customFormat="1" ht="15">
      <c r="B17" s="17"/>
    </row>
    <row r="18" spans="2:14" s="12" customFormat="1">
      <c r="B18" s="82" t="s">
        <v>463</v>
      </c>
      <c r="C18" s="82"/>
      <c r="D18" s="82"/>
      <c r="E18" s="82"/>
      <c r="F18" s="81"/>
      <c r="G18" s="81"/>
      <c r="H18" s="81"/>
      <c r="I18" s="81"/>
      <c r="J18" s="81"/>
      <c r="K18" s="81"/>
      <c r="L18" s="81"/>
      <c r="M18" s="81"/>
      <c r="N18" s="81"/>
    </row>
    <row r="19" spans="2:14" s="12" customFormat="1">
      <c r="B19" s="83" t="s">
        <v>464</v>
      </c>
      <c r="C19" s="82"/>
      <c r="D19" s="82"/>
      <c r="E19" s="82"/>
      <c r="F19" s="81"/>
      <c r="G19" s="81"/>
      <c r="H19" s="81"/>
      <c r="I19" s="81"/>
      <c r="J19" s="81"/>
      <c r="K19" s="81"/>
      <c r="L19" s="81"/>
      <c r="M19" s="81"/>
      <c r="N19" s="81"/>
    </row>
    <row r="20" spans="2:14" s="12" customFormat="1">
      <c r="B20" s="81"/>
      <c r="C20" s="81"/>
      <c r="D20" s="81"/>
      <c r="E20" s="81"/>
      <c r="F20" s="81"/>
      <c r="G20" s="81"/>
      <c r="H20" s="81"/>
      <c r="I20" s="81"/>
      <c r="J20" s="81"/>
      <c r="K20" s="81"/>
      <c r="L20" s="81"/>
      <c r="M20" s="81"/>
      <c r="N20" s="81"/>
    </row>
    <row r="21" spans="2:14" s="12" customFormat="1"/>
    <row r="22" spans="2:14" s="12" customFormat="1"/>
    <row r="23" spans="2:14" s="12" customFormat="1"/>
    <row r="24" spans="2:14" s="12" customFormat="1"/>
    <row r="25" spans="2:14" s="12" customFormat="1"/>
    <row r="26" spans="2:14" s="12" customFormat="1"/>
    <row r="27" spans="2:14" s="12" customFormat="1"/>
    <row r="28" spans="2:14" s="12" customFormat="1"/>
    <row r="29" spans="2:14" s="12" customFormat="1"/>
    <row r="30" spans="2:14" s="12" customFormat="1"/>
    <row r="31" spans="2:14" s="12" customFormat="1"/>
    <row r="32" spans="2:14" s="12" customFormat="1"/>
    <row r="33" s="12" customFormat="1"/>
    <row r="34" s="12" customFormat="1"/>
    <row r="35" s="12" customFormat="1"/>
    <row r="36" s="12" customFormat="1"/>
    <row r="37" s="12" customFormat="1"/>
    <row r="38" s="12" customFormat="1"/>
    <row r="39" s="12" customFormat="1"/>
    <row r="40" s="12" customFormat="1"/>
    <row r="41" s="12" customFormat="1"/>
    <row r="42" s="12" customFormat="1"/>
    <row r="43" s="12" customFormat="1"/>
    <row r="44" s="12" customFormat="1"/>
    <row r="45" s="12" customFormat="1"/>
    <row r="46" s="12" customFormat="1"/>
    <row r="47" s="12" customFormat="1"/>
    <row r="48" s="12" customFormat="1"/>
    <row r="49" s="12" customFormat="1"/>
    <row r="50" s="12" customFormat="1"/>
    <row r="51" s="12" customFormat="1"/>
    <row r="52" s="12" customFormat="1"/>
    <row r="53" s="12" customFormat="1"/>
    <row r="54" s="12" customFormat="1"/>
    <row r="55" s="12" customFormat="1"/>
    <row r="56" s="12" customFormat="1"/>
    <row r="57" s="12" customFormat="1"/>
    <row r="58" s="12" customFormat="1"/>
    <row r="59" s="12" customFormat="1"/>
    <row r="60" s="12" customFormat="1"/>
    <row r="61" s="12" customFormat="1"/>
    <row r="62" s="12" customFormat="1"/>
    <row r="63" s="12" customFormat="1"/>
    <row r="64" s="12" customFormat="1"/>
    <row r="65" s="12" customFormat="1"/>
    <row r="66" s="12" customFormat="1"/>
    <row r="67" s="12" customFormat="1"/>
    <row r="68" s="12" customFormat="1"/>
    <row r="69" s="12" customFormat="1"/>
    <row r="70" s="12" customFormat="1"/>
    <row r="71" s="12" customFormat="1"/>
    <row r="72" s="12" customFormat="1"/>
    <row r="73" s="12" customFormat="1"/>
    <row r="74" s="12" customFormat="1"/>
    <row r="75" s="12" customFormat="1"/>
    <row r="76" s="12" customFormat="1"/>
    <row r="77" s="12" customFormat="1"/>
    <row r="78" s="12" customFormat="1"/>
    <row r="79" s="12" customFormat="1"/>
    <row r="80" s="12" customFormat="1"/>
    <row r="81" s="12" customFormat="1"/>
    <row r="82" s="12" customFormat="1"/>
    <row r="83" s="12" customFormat="1"/>
    <row r="84" s="12" customFormat="1"/>
    <row r="85" s="12" customFormat="1"/>
    <row r="86" s="12" customFormat="1"/>
    <row r="87" s="12" customFormat="1"/>
    <row r="88" s="12" customFormat="1"/>
    <row r="89" s="12" customFormat="1"/>
    <row r="90" s="12" customFormat="1"/>
    <row r="91" s="12" customFormat="1"/>
    <row r="92" s="12" customFormat="1"/>
    <row r="93" s="12" customFormat="1"/>
    <row r="94" s="12" customFormat="1"/>
    <row r="95" s="12" customFormat="1"/>
    <row r="96" s="12" customFormat="1"/>
    <row r="97" s="12" customFormat="1"/>
    <row r="98" s="12" customFormat="1"/>
    <row r="99" s="12" customFormat="1"/>
    <row r="100" s="12" customFormat="1"/>
    <row r="101" s="12" customFormat="1"/>
    <row r="102" s="12" customFormat="1"/>
    <row r="103" s="12" customFormat="1"/>
    <row r="104" s="12" customFormat="1"/>
    <row r="105" s="12" customFormat="1"/>
    <row r="106" s="12" customFormat="1"/>
    <row r="107" s="12" customFormat="1"/>
    <row r="108" s="12" customFormat="1"/>
    <row r="109" s="12" customFormat="1"/>
    <row r="110" s="12" customFormat="1"/>
    <row r="111" s="12" customFormat="1"/>
    <row r="112" s="12" customFormat="1"/>
    <row r="113" s="12" customFormat="1"/>
    <row r="114" s="12" customFormat="1"/>
    <row r="115" s="12" customFormat="1"/>
    <row r="116" s="12" customFormat="1"/>
    <row r="117" s="12" customFormat="1"/>
    <row r="118" s="12" customFormat="1"/>
    <row r="119" s="12" customFormat="1"/>
    <row r="120" s="12" customFormat="1"/>
    <row r="121" s="12" customFormat="1"/>
    <row r="122" s="12" customFormat="1"/>
    <row r="123" s="12" customFormat="1"/>
    <row r="124" s="12" customFormat="1"/>
    <row r="125" s="12" customFormat="1"/>
    <row r="126" s="12" customFormat="1"/>
    <row r="127" s="12" customFormat="1"/>
    <row r="128" s="12" customFormat="1"/>
    <row r="129" s="12" customFormat="1"/>
    <row r="130" s="12" customFormat="1"/>
    <row r="131" s="12" customFormat="1"/>
    <row r="132" s="12" customFormat="1"/>
    <row r="133" s="12" customFormat="1"/>
    <row r="134" s="12" customFormat="1"/>
    <row r="135" s="12" customFormat="1"/>
    <row r="136" s="12" customFormat="1"/>
    <row r="137" s="12" customFormat="1"/>
    <row r="138" s="12" customFormat="1"/>
    <row r="139" s="12" customFormat="1"/>
    <row r="140" s="12" customFormat="1"/>
    <row r="141" s="12" customFormat="1"/>
    <row r="142" s="12" customFormat="1"/>
    <row r="143" s="12" customFormat="1"/>
    <row r="144" s="12" customFormat="1"/>
    <row r="145" s="12" customFormat="1"/>
    <row r="146" s="12" customFormat="1"/>
    <row r="147" s="12" customFormat="1"/>
    <row r="148" s="12" customFormat="1"/>
    <row r="149" s="12" customFormat="1"/>
    <row r="150" s="12" customFormat="1"/>
    <row r="151" s="12" customFormat="1"/>
    <row r="152" s="12" customFormat="1"/>
    <row r="153" s="12" customFormat="1"/>
    <row r="154" s="12" customFormat="1"/>
    <row r="155" s="12" customFormat="1"/>
    <row r="156" s="12" customFormat="1"/>
    <row r="157" s="12" customFormat="1"/>
    <row r="158" s="12" customFormat="1"/>
    <row r="159" s="12" customFormat="1"/>
    <row r="160" s="12" customFormat="1"/>
    <row r="161" s="12" customFormat="1"/>
    <row r="162" s="12" customFormat="1"/>
    <row r="163" s="12" customFormat="1"/>
    <row r="164" s="12" customFormat="1"/>
    <row r="165" s="12" customFormat="1"/>
    <row r="166" s="12" customFormat="1"/>
    <row r="167" s="12" customFormat="1"/>
    <row r="168" s="12" customFormat="1"/>
    <row r="169" s="12" customFormat="1"/>
    <row r="170" s="12" customFormat="1"/>
    <row r="171" s="12" customFormat="1"/>
    <row r="172" s="12" customFormat="1"/>
    <row r="173" s="12" customFormat="1"/>
    <row r="174" s="12" customFormat="1"/>
    <row r="175" s="12" customFormat="1"/>
    <row r="176" s="12" customFormat="1"/>
    <row r="177" s="12" customFormat="1"/>
    <row r="178" s="12" customFormat="1"/>
    <row r="179" s="12" customFormat="1"/>
    <row r="180" s="12" customFormat="1"/>
    <row r="181" s="12" customFormat="1"/>
    <row r="182" s="12" customFormat="1"/>
    <row r="183" s="12" customFormat="1"/>
    <row r="184" s="12" customFormat="1"/>
    <row r="185" s="12" customFormat="1"/>
    <row r="186" s="12" customFormat="1"/>
    <row r="187" s="12" customFormat="1"/>
    <row r="188" s="12" customFormat="1"/>
    <row r="189" s="12" customFormat="1"/>
    <row r="190" s="12" customFormat="1"/>
    <row r="191" s="12" customFormat="1"/>
    <row r="192" s="12" customFormat="1"/>
    <row r="193" s="12" customFormat="1"/>
    <row r="194" s="12" customFormat="1"/>
    <row r="195" s="12" customFormat="1"/>
    <row r="196" s="12" customFormat="1"/>
    <row r="197" s="12" customFormat="1"/>
    <row r="198" s="12" customFormat="1"/>
    <row r="199" s="12" customFormat="1"/>
    <row r="200" s="12" customFormat="1"/>
    <row r="201" s="12" customFormat="1"/>
    <row r="202" s="12" customFormat="1"/>
    <row r="203" s="12" customFormat="1"/>
    <row r="204" s="12" customFormat="1"/>
    <row r="205" s="12" customFormat="1"/>
    <row r="206" s="12" customFormat="1"/>
    <row r="207" s="12" customFormat="1"/>
    <row r="208" s="12" customFormat="1"/>
    <row r="209" s="12" customFormat="1"/>
    <row r="210" s="12" customFormat="1"/>
    <row r="211" s="12" customFormat="1"/>
    <row r="212" s="12" customFormat="1"/>
    <row r="213" s="12" customFormat="1"/>
    <row r="214" s="12" customFormat="1"/>
    <row r="215" s="12" customFormat="1"/>
    <row r="216" s="12" customFormat="1"/>
    <row r="217" s="12" customFormat="1"/>
    <row r="218" s="12" customFormat="1"/>
    <row r="219" s="12" customFormat="1"/>
    <row r="220" s="12" customFormat="1"/>
    <row r="221" s="12" customFormat="1"/>
    <row r="222" s="12" customFormat="1"/>
    <row r="223" s="12" customFormat="1"/>
    <row r="224" s="12" customFormat="1"/>
    <row r="225" s="12" customFormat="1"/>
    <row r="226" s="12" customFormat="1"/>
    <row r="227" s="12" customFormat="1"/>
    <row r="228" s="12" customFormat="1"/>
    <row r="229" s="12" customFormat="1"/>
    <row r="230" s="12" customFormat="1"/>
    <row r="231" s="12" customFormat="1"/>
    <row r="232" s="12" customFormat="1"/>
    <row r="233" s="12" customFormat="1"/>
    <row r="234" s="12" customFormat="1"/>
    <row r="235" s="12" customFormat="1"/>
    <row r="236" s="12" customFormat="1"/>
    <row r="237" s="12" customFormat="1"/>
    <row r="238" s="12" customFormat="1"/>
    <row r="239" s="12" customFormat="1"/>
    <row r="240" s="12" customFormat="1"/>
    <row r="241" s="12" customFormat="1"/>
    <row r="242" s="12" customFormat="1"/>
    <row r="243" s="12" customFormat="1"/>
    <row r="244" s="12" customFormat="1"/>
    <row r="245" s="12" customFormat="1"/>
    <row r="246" s="12" customFormat="1"/>
    <row r="247" s="12" customFormat="1"/>
    <row r="248" s="12" customFormat="1"/>
    <row r="249" s="12" customFormat="1"/>
    <row r="250" s="12" customFormat="1"/>
    <row r="251" s="12" customFormat="1"/>
    <row r="252" s="12" customFormat="1"/>
  </sheetData>
  <mergeCells count="7">
    <mergeCell ref="B8:B16"/>
    <mergeCell ref="B4:N5"/>
    <mergeCell ref="C6:E6"/>
    <mergeCell ref="G6:H6"/>
    <mergeCell ref="I6:J6"/>
    <mergeCell ref="K6:L6"/>
    <mergeCell ref="M6:N6"/>
  </mergeCells>
  <phoneticPr fontId="1" type="noConversion"/>
  <pageMargins left="0.70866141732283472" right="0.70866141732283472" top="0.74803149606299213" bottom="0.74803149606299213" header="0.31496062992125984" footer="0.31496062992125984"/>
  <pageSetup paperSize="66" orientation="landscape"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BE1D-64B0-45E3-828E-BE0BB468553B}">
  <sheetPr>
    <pageSetUpPr fitToPage="1"/>
  </sheetPr>
  <dimension ref="A1:J41"/>
  <sheetViews>
    <sheetView topLeftCell="B1" zoomScaleNormal="100" workbookViewId="0">
      <pane ySplit="1" topLeftCell="A33" activePane="bottomLeft" state="frozen"/>
      <selection pane="bottomLeft" activeCell="F37" sqref="F37"/>
    </sheetView>
  </sheetViews>
  <sheetFormatPr baseColWidth="10" defaultColWidth="11.375" defaultRowHeight="14.25"/>
  <cols>
    <col min="1" max="1" width="32.625" style="5" customWidth="1"/>
    <col min="2" max="4" width="50.625" style="6" customWidth="1"/>
    <col min="5" max="5" width="28.625" style="6" customWidth="1"/>
    <col min="6" max="6" width="25.625" style="3" customWidth="1"/>
    <col min="7" max="10" width="18.625" style="3" customWidth="1"/>
    <col min="11" max="16384" width="11.375" style="3"/>
  </cols>
  <sheetData>
    <row r="1" spans="1:10" s="22" customFormat="1" ht="33" customHeight="1">
      <c r="A1" s="93" t="s">
        <v>91</v>
      </c>
      <c r="B1" s="94"/>
      <c r="C1" s="94"/>
      <c r="D1" s="94"/>
      <c r="E1" s="94"/>
      <c r="F1" s="94"/>
      <c r="G1" s="94"/>
      <c r="H1" s="94"/>
      <c r="I1" s="94"/>
      <c r="J1" s="94"/>
    </row>
    <row r="2" spans="1:10" ht="24.75" hidden="1" customHeight="1">
      <c r="A2" s="23"/>
      <c r="B2" s="23"/>
      <c r="C2" s="23"/>
      <c r="D2" s="23"/>
      <c r="E2" s="23"/>
      <c r="F2" s="23"/>
      <c r="G2" s="23"/>
      <c r="H2" s="23"/>
      <c r="I2" s="23"/>
      <c r="J2" s="24"/>
    </row>
    <row r="3" spans="1:10" s="25" customFormat="1" ht="23.1" customHeight="1">
      <c r="A3" s="18" t="s">
        <v>3</v>
      </c>
      <c r="B3" s="18" t="s">
        <v>92</v>
      </c>
      <c r="C3" s="18"/>
      <c r="D3" s="18"/>
      <c r="E3" s="18"/>
      <c r="F3" s="18"/>
      <c r="G3" s="18"/>
      <c r="H3" s="18"/>
      <c r="I3" s="18"/>
      <c r="J3" s="18"/>
    </row>
    <row r="4" spans="1:10" s="26" customFormat="1" ht="23.1" customHeight="1">
      <c r="A4" s="19" t="s">
        <v>16</v>
      </c>
      <c r="B4" s="19" t="s">
        <v>93</v>
      </c>
      <c r="C4" s="19" t="s">
        <v>94</v>
      </c>
      <c r="D4" s="19" t="s">
        <v>95</v>
      </c>
      <c r="E4" s="19" t="s">
        <v>96</v>
      </c>
      <c r="F4" s="19" t="s">
        <v>97</v>
      </c>
      <c r="G4" s="19" t="s">
        <v>98</v>
      </c>
      <c r="H4" s="19" t="s">
        <v>99</v>
      </c>
      <c r="I4" s="19" t="s">
        <v>100</v>
      </c>
      <c r="J4" s="19" t="s">
        <v>101</v>
      </c>
    </row>
    <row r="5" spans="1:10" ht="228.75" customHeight="1">
      <c r="A5" s="76" t="s">
        <v>102</v>
      </c>
      <c r="B5" s="27" t="s">
        <v>103</v>
      </c>
      <c r="C5" s="27" t="s">
        <v>104</v>
      </c>
      <c r="D5" s="27" t="s">
        <v>105</v>
      </c>
      <c r="E5" s="28" t="s">
        <v>106</v>
      </c>
      <c r="F5" s="29"/>
      <c r="G5" s="29" t="s">
        <v>107</v>
      </c>
      <c r="H5" s="29" t="s">
        <v>108</v>
      </c>
      <c r="I5" s="29" t="s">
        <v>109</v>
      </c>
      <c r="J5" s="29" t="s">
        <v>44</v>
      </c>
    </row>
    <row r="6" spans="1:10" s="26" customFormat="1" ht="23.1" customHeight="1">
      <c r="A6" s="19" t="s">
        <v>28</v>
      </c>
      <c r="B6" s="19" t="s">
        <v>93</v>
      </c>
      <c r="C6" s="19" t="s">
        <v>94</v>
      </c>
      <c r="D6" s="19" t="s">
        <v>95</v>
      </c>
      <c r="E6" s="19" t="s">
        <v>96</v>
      </c>
      <c r="F6" s="19" t="s">
        <v>97</v>
      </c>
      <c r="G6" s="19" t="s">
        <v>98</v>
      </c>
      <c r="H6" s="19" t="s">
        <v>99</v>
      </c>
      <c r="I6" s="19" t="s">
        <v>100</v>
      </c>
      <c r="J6" s="19" t="s">
        <v>101</v>
      </c>
    </row>
    <row r="7" spans="1:10" ht="237" customHeight="1">
      <c r="A7" s="76" t="s">
        <v>110</v>
      </c>
      <c r="B7" s="28" t="s">
        <v>111</v>
      </c>
      <c r="C7" s="28" t="s">
        <v>112</v>
      </c>
      <c r="D7" s="28" t="s">
        <v>113</v>
      </c>
      <c r="E7" s="28" t="s">
        <v>114</v>
      </c>
      <c r="F7" s="29" t="s">
        <v>115</v>
      </c>
      <c r="G7" s="29" t="s">
        <v>116</v>
      </c>
      <c r="H7" s="29" t="s">
        <v>117</v>
      </c>
      <c r="I7" s="29" t="s">
        <v>109</v>
      </c>
      <c r="J7" s="29" t="s">
        <v>20</v>
      </c>
    </row>
    <row r="8" spans="1:10" s="32" customFormat="1" ht="23.1" customHeight="1">
      <c r="A8" s="19" t="s">
        <v>40</v>
      </c>
      <c r="B8" s="19" t="s">
        <v>93</v>
      </c>
      <c r="C8" s="19" t="s">
        <v>94</v>
      </c>
      <c r="D8" s="19" t="s">
        <v>95</v>
      </c>
      <c r="E8" s="19" t="s">
        <v>96</v>
      </c>
      <c r="F8" s="19" t="s">
        <v>97</v>
      </c>
      <c r="G8" s="19" t="s">
        <v>98</v>
      </c>
      <c r="H8" s="19" t="s">
        <v>99</v>
      </c>
      <c r="I8" s="19" t="s">
        <v>100</v>
      </c>
      <c r="J8" s="19" t="s">
        <v>101</v>
      </c>
    </row>
    <row r="9" spans="1:10" ht="282" customHeight="1">
      <c r="A9" s="76" t="s">
        <v>118</v>
      </c>
      <c r="B9" s="28" t="s">
        <v>450</v>
      </c>
      <c r="C9" s="28" t="s">
        <v>119</v>
      </c>
      <c r="D9" s="28" t="s">
        <v>120</v>
      </c>
      <c r="E9" s="28" t="s">
        <v>121</v>
      </c>
      <c r="F9" s="29" t="s">
        <v>122</v>
      </c>
      <c r="G9" s="29" t="s">
        <v>107</v>
      </c>
      <c r="H9" s="29" t="s">
        <v>108</v>
      </c>
      <c r="I9" s="29" t="s">
        <v>109</v>
      </c>
      <c r="J9" s="29" t="s">
        <v>52</v>
      </c>
    </row>
    <row r="10" spans="1:10" s="32" customFormat="1" ht="23.1" customHeight="1">
      <c r="A10" s="19" t="s">
        <v>52</v>
      </c>
      <c r="B10" s="19" t="s">
        <v>93</v>
      </c>
      <c r="C10" s="19" t="s">
        <v>94</v>
      </c>
      <c r="D10" s="19" t="s">
        <v>95</v>
      </c>
      <c r="E10" s="19" t="s">
        <v>96</v>
      </c>
      <c r="F10" s="19" t="s">
        <v>97</v>
      </c>
      <c r="G10" s="19" t="s">
        <v>98</v>
      </c>
      <c r="H10" s="19" t="s">
        <v>99</v>
      </c>
      <c r="I10" s="19" t="s">
        <v>100</v>
      </c>
      <c r="J10" s="19" t="s">
        <v>101</v>
      </c>
    </row>
    <row r="11" spans="1:10" ht="30" customHeight="1">
      <c r="A11" s="76" t="s">
        <v>123</v>
      </c>
      <c r="B11" s="95" t="s">
        <v>47</v>
      </c>
      <c r="C11" s="95"/>
      <c r="D11" s="95"/>
      <c r="E11" s="95"/>
      <c r="F11" s="29"/>
      <c r="G11" s="29" t="s">
        <v>107</v>
      </c>
      <c r="H11" s="29" t="s">
        <v>108</v>
      </c>
      <c r="I11" s="29" t="s">
        <v>124</v>
      </c>
      <c r="J11" s="29" t="s">
        <v>40</v>
      </c>
    </row>
    <row r="12" spans="1:10" s="32" customFormat="1" ht="23.1" customHeight="1">
      <c r="A12" s="19" t="s">
        <v>64</v>
      </c>
      <c r="B12" s="19" t="s">
        <v>93</v>
      </c>
      <c r="C12" s="19" t="s">
        <v>94</v>
      </c>
      <c r="D12" s="19" t="s">
        <v>95</v>
      </c>
      <c r="E12" s="19" t="s">
        <v>96</v>
      </c>
      <c r="F12" s="19" t="s">
        <v>97</v>
      </c>
      <c r="G12" s="19" t="s">
        <v>98</v>
      </c>
      <c r="H12" s="19" t="s">
        <v>99</v>
      </c>
      <c r="I12" s="19" t="s">
        <v>100</v>
      </c>
      <c r="J12" s="19" t="s">
        <v>101</v>
      </c>
    </row>
    <row r="13" spans="1:10" ht="132.75" customHeight="1">
      <c r="A13" s="76" t="s">
        <v>125</v>
      </c>
      <c r="B13" s="29" t="s">
        <v>126</v>
      </c>
      <c r="C13" s="29" t="s">
        <v>127</v>
      </c>
      <c r="D13" s="29" t="s">
        <v>128</v>
      </c>
      <c r="E13" s="29" t="s">
        <v>129</v>
      </c>
      <c r="F13" s="30"/>
      <c r="G13" s="29" t="s">
        <v>130</v>
      </c>
      <c r="H13" s="29" t="s">
        <v>131</v>
      </c>
      <c r="I13" s="29" t="s">
        <v>109</v>
      </c>
      <c r="J13" s="31"/>
    </row>
    <row r="14" spans="1:10" s="32" customFormat="1" ht="23.1" customHeight="1">
      <c r="A14" s="18" t="s">
        <v>4</v>
      </c>
      <c r="B14" s="18" t="s">
        <v>132</v>
      </c>
      <c r="C14" s="18"/>
      <c r="D14" s="18"/>
      <c r="E14" s="18"/>
      <c r="F14" s="18"/>
      <c r="G14" s="18"/>
      <c r="H14" s="18"/>
      <c r="I14" s="18"/>
      <c r="J14" s="18"/>
    </row>
    <row r="15" spans="1:10" s="32" customFormat="1" ht="23.1" customHeight="1">
      <c r="A15" s="19" t="s">
        <v>17</v>
      </c>
      <c r="B15" s="19" t="s">
        <v>93</v>
      </c>
      <c r="C15" s="19" t="s">
        <v>94</v>
      </c>
      <c r="D15" s="19" t="s">
        <v>95</v>
      </c>
      <c r="E15" s="19" t="s">
        <v>96</v>
      </c>
      <c r="F15" s="19" t="s">
        <v>97</v>
      </c>
      <c r="G15" s="19" t="s">
        <v>98</v>
      </c>
      <c r="H15" s="19" t="s">
        <v>108</v>
      </c>
      <c r="I15" s="19" t="s">
        <v>100</v>
      </c>
      <c r="J15" s="19" t="s">
        <v>101</v>
      </c>
    </row>
    <row r="16" spans="1:10" ht="385.5" customHeight="1">
      <c r="A16" s="76" t="s">
        <v>133</v>
      </c>
      <c r="B16" s="28" t="s">
        <v>134</v>
      </c>
      <c r="C16" s="28" t="s">
        <v>135</v>
      </c>
      <c r="D16" s="28" t="s">
        <v>136</v>
      </c>
      <c r="E16" s="29" t="s">
        <v>137</v>
      </c>
      <c r="F16" s="29" t="s">
        <v>138</v>
      </c>
      <c r="G16" s="31" t="s">
        <v>130</v>
      </c>
      <c r="H16" s="31" t="s">
        <v>117</v>
      </c>
      <c r="I16" s="31" t="s">
        <v>139</v>
      </c>
      <c r="J16" s="29" t="s">
        <v>140</v>
      </c>
    </row>
    <row r="17" spans="1:10" s="32" customFormat="1" ht="23.1" customHeight="1">
      <c r="A17" s="19" t="s">
        <v>29</v>
      </c>
      <c r="B17" s="19" t="s">
        <v>93</v>
      </c>
      <c r="C17" s="19" t="s">
        <v>94</v>
      </c>
      <c r="D17" s="19" t="s">
        <v>95</v>
      </c>
      <c r="E17" s="19" t="s">
        <v>96</v>
      </c>
      <c r="F17" s="19" t="s">
        <v>97</v>
      </c>
      <c r="G17" s="19" t="s">
        <v>98</v>
      </c>
      <c r="H17" s="19" t="s">
        <v>99</v>
      </c>
      <c r="I17" s="19" t="s">
        <v>100</v>
      </c>
      <c r="J17" s="19" t="s">
        <v>101</v>
      </c>
    </row>
    <row r="18" spans="1:10" s="33" customFormat="1" ht="409.5" customHeight="1">
      <c r="A18" s="76" t="s">
        <v>452</v>
      </c>
      <c r="B18" s="28" t="s">
        <v>453</v>
      </c>
      <c r="C18" s="28" t="s">
        <v>141</v>
      </c>
      <c r="D18" s="28" t="s">
        <v>451</v>
      </c>
      <c r="E18" s="29" t="s">
        <v>142</v>
      </c>
      <c r="F18" s="29" t="s">
        <v>143</v>
      </c>
      <c r="G18" s="29" t="s">
        <v>116</v>
      </c>
      <c r="H18" s="29" t="s">
        <v>108</v>
      </c>
      <c r="I18" s="29" t="s">
        <v>109</v>
      </c>
      <c r="J18" s="29" t="s">
        <v>144</v>
      </c>
    </row>
    <row r="19" spans="1:10" s="32" customFormat="1" ht="22.5" customHeight="1">
      <c r="A19" s="19" t="s">
        <v>41</v>
      </c>
      <c r="B19" s="19" t="s">
        <v>93</v>
      </c>
      <c r="C19" s="19" t="s">
        <v>94</v>
      </c>
      <c r="D19" s="19" t="s">
        <v>95</v>
      </c>
      <c r="E19" s="19" t="s">
        <v>96</v>
      </c>
      <c r="F19" s="19" t="s">
        <v>97</v>
      </c>
      <c r="G19" s="19" t="s">
        <v>98</v>
      </c>
      <c r="H19" s="19" t="s">
        <v>99</v>
      </c>
      <c r="I19" s="19" t="s">
        <v>100</v>
      </c>
      <c r="J19" s="19" t="s">
        <v>101</v>
      </c>
    </row>
    <row r="20" spans="1:10" ht="71.25" customHeight="1">
      <c r="A20" s="76" t="s">
        <v>145</v>
      </c>
      <c r="B20" s="95" t="s">
        <v>51</v>
      </c>
      <c r="C20" s="95"/>
      <c r="D20" s="95"/>
      <c r="E20" s="95"/>
      <c r="F20" s="29" t="s">
        <v>146</v>
      </c>
      <c r="G20" s="31" t="s">
        <v>116</v>
      </c>
      <c r="H20" s="31" t="s">
        <v>108</v>
      </c>
      <c r="I20" s="31" t="s">
        <v>109</v>
      </c>
      <c r="J20" s="31" t="s">
        <v>147</v>
      </c>
    </row>
    <row r="21" spans="1:10" s="32" customFormat="1" ht="23.1" customHeight="1">
      <c r="A21" s="19" t="s">
        <v>53</v>
      </c>
      <c r="B21" s="19" t="s">
        <v>93</v>
      </c>
      <c r="C21" s="19" t="s">
        <v>94</v>
      </c>
      <c r="D21" s="19" t="s">
        <v>95</v>
      </c>
      <c r="E21" s="19" t="s">
        <v>96</v>
      </c>
      <c r="F21" s="19" t="s">
        <v>97</v>
      </c>
      <c r="G21" s="19" t="s">
        <v>98</v>
      </c>
      <c r="H21" s="19" t="s">
        <v>99</v>
      </c>
      <c r="I21" s="19" t="s">
        <v>100</v>
      </c>
      <c r="J21" s="19" t="s">
        <v>101</v>
      </c>
    </row>
    <row r="22" spans="1:10" s="34" customFormat="1" ht="71.25" customHeight="1">
      <c r="A22" s="76" t="s">
        <v>148</v>
      </c>
      <c r="B22" s="95" t="s">
        <v>39</v>
      </c>
      <c r="C22" s="95"/>
      <c r="D22" s="95"/>
      <c r="E22" s="95"/>
      <c r="F22" s="29" t="s">
        <v>149</v>
      </c>
      <c r="G22" s="29" t="s">
        <v>116</v>
      </c>
      <c r="H22" s="29" t="s">
        <v>108</v>
      </c>
      <c r="I22" s="29" t="s">
        <v>109</v>
      </c>
      <c r="J22" s="29" t="s">
        <v>147</v>
      </c>
    </row>
    <row r="23" spans="1:10" s="32" customFormat="1" ht="23.1" customHeight="1">
      <c r="A23" s="19" t="s">
        <v>65</v>
      </c>
      <c r="B23" s="19" t="s">
        <v>93</v>
      </c>
      <c r="C23" s="19" t="s">
        <v>94</v>
      </c>
      <c r="D23" s="19" t="s">
        <v>95</v>
      </c>
      <c r="E23" s="19" t="s">
        <v>96</v>
      </c>
      <c r="F23" s="19" t="s">
        <v>97</v>
      </c>
      <c r="G23" s="19" t="s">
        <v>98</v>
      </c>
      <c r="H23" s="19" t="s">
        <v>99</v>
      </c>
      <c r="I23" s="19" t="s">
        <v>100</v>
      </c>
      <c r="J23" s="19" t="s">
        <v>101</v>
      </c>
    </row>
    <row r="24" spans="1:10" ht="69.75" customHeight="1">
      <c r="A24" s="76" t="s">
        <v>150</v>
      </c>
      <c r="B24" s="95" t="s">
        <v>62</v>
      </c>
      <c r="C24" s="95"/>
      <c r="D24" s="95"/>
      <c r="E24" s="95"/>
      <c r="F24" s="29" t="s">
        <v>151</v>
      </c>
      <c r="G24" s="31" t="s">
        <v>116</v>
      </c>
      <c r="H24" s="31" t="s">
        <v>108</v>
      </c>
      <c r="I24" s="31" t="s">
        <v>124</v>
      </c>
      <c r="J24" s="31"/>
    </row>
    <row r="25" spans="1:10" s="32" customFormat="1" ht="23.1" customHeight="1">
      <c r="A25" s="19" t="s">
        <v>74</v>
      </c>
      <c r="B25" s="19" t="s">
        <v>93</v>
      </c>
      <c r="C25" s="19" t="s">
        <v>94</v>
      </c>
      <c r="D25" s="19" t="s">
        <v>95</v>
      </c>
      <c r="E25" s="19" t="s">
        <v>96</v>
      </c>
      <c r="F25" s="19" t="s">
        <v>97</v>
      </c>
      <c r="G25" s="19" t="s">
        <v>98</v>
      </c>
      <c r="H25" s="19" t="s">
        <v>99</v>
      </c>
      <c r="I25" s="19" t="s">
        <v>100</v>
      </c>
      <c r="J25" s="19" t="s">
        <v>101</v>
      </c>
    </row>
    <row r="26" spans="1:10" ht="246" customHeight="1">
      <c r="A26" s="77" t="s">
        <v>417</v>
      </c>
      <c r="B26" s="35" t="s">
        <v>152</v>
      </c>
      <c r="C26" s="35" t="s">
        <v>153</v>
      </c>
      <c r="D26" s="35" t="s">
        <v>154</v>
      </c>
      <c r="E26" s="35" t="s">
        <v>155</v>
      </c>
      <c r="F26" s="31"/>
      <c r="G26" s="31" t="s">
        <v>107</v>
      </c>
      <c r="H26" s="31" t="s">
        <v>108</v>
      </c>
      <c r="I26" s="31" t="s">
        <v>109</v>
      </c>
      <c r="J26" s="31" t="s">
        <v>156</v>
      </c>
    </row>
    <row r="27" spans="1:10" s="32" customFormat="1" ht="23.1" customHeight="1">
      <c r="A27" s="19" t="s">
        <v>82</v>
      </c>
      <c r="B27" s="19" t="s">
        <v>93</v>
      </c>
      <c r="C27" s="19" t="s">
        <v>94</v>
      </c>
      <c r="D27" s="19" t="s">
        <v>95</v>
      </c>
      <c r="E27" s="19" t="s">
        <v>96</v>
      </c>
      <c r="F27" s="19" t="s">
        <v>97</v>
      </c>
      <c r="G27" s="19" t="s">
        <v>98</v>
      </c>
      <c r="H27" s="19" t="s">
        <v>99</v>
      </c>
      <c r="I27" s="19" t="s">
        <v>100</v>
      </c>
      <c r="J27" s="19" t="s">
        <v>101</v>
      </c>
    </row>
    <row r="28" spans="1:10" ht="130.5" customHeight="1">
      <c r="A28" s="76" t="s">
        <v>157</v>
      </c>
      <c r="B28" s="29" t="s">
        <v>158</v>
      </c>
      <c r="C28" s="29" t="s">
        <v>159</v>
      </c>
      <c r="D28" s="29" t="s">
        <v>128</v>
      </c>
      <c r="E28" s="29" t="s">
        <v>160</v>
      </c>
      <c r="F28" s="30"/>
      <c r="G28" s="29" t="s">
        <v>130</v>
      </c>
      <c r="H28" s="29" t="s">
        <v>131</v>
      </c>
      <c r="I28" s="29" t="s">
        <v>109</v>
      </c>
      <c r="J28" s="31"/>
    </row>
    <row r="29" spans="1:10" s="32" customFormat="1" ht="23.1" customHeight="1">
      <c r="A29" s="18" t="s">
        <v>5</v>
      </c>
      <c r="B29" s="18" t="s">
        <v>161</v>
      </c>
      <c r="C29" s="18"/>
      <c r="D29" s="18"/>
      <c r="E29" s="18"/>
      <c r="F29" s="18"/>
      <c r="G29" s="18"/>
      <c r="H29" s="18"/>
      <c r="I29" s="18"/>
      <c r="J29" s="18"/>
    </row>
    <row r="30" spans="1:10" s="32" customFormat="1" ht="23.1" customHeight="1">
      <c r="A30" s="19" t="s">
        <v>18</v>
      </c>
      <c r="B30" s="19" t="s">
        <v>93</v>
      </c>
      <c r="C30" s="19" t="s">
        <v>94</v>
      </c>
      <c r="D30" s="19" t="s">
        <v>95</v>
      </c>
      <c r="E30" s="19" t="s">
        <v>96</v>
      </c>
      <c r="F30" s="19" t="s">
        <v>97</v>
      </c>
      <c r="G30" s="19" t="s">
        <v>98</v>
      </c>
      <c r="H30" s="19" t="s">
        <v>99</v>
      </c>
      <c r="I30" s="19" t="s">
        <v>100</v>
      </c>
      <c r="J30" s="19" t="s">
        <v>101</v>
      </c>
    </row>
    <row r="31" spans="1:10" ht="278.25" customHeight="1">
      <c r="A31" s="76" t="s">
        <v>162</v>
      </c>
      <c r="B31" s="28" t="s">
        <v>163</v>
      </c>
      <c r="C31" s="28" t="s">
        <v>164</v>
      </c>
      <c r="D31" s="28" t="s">
        <v>165</v>
      </c>
      <c r="E31" s="29" t="s">
        <v>166</v>
      </c>
      <c r="F31" s="29" t="s">
        <v>167</v>
      </c>
      <c r="G31" s="31" t="s">
        <v>130</v>
      </c>
      <c r="H31" s="31" t="s">
        <v>117</v>
      </c>
      <c r="I31" s="31" t="s">
        <v>109</v>
      </c>
      <c r="J31" s="29" t="s">
        <v>140</v>
      </c>
    </row>
    <row r="32" spans="1:10" s="32" customFormat="1" ht="23.1" customHeight="1">
      <c r="A32" s="19" t="s">
        <v>30</v>
      </c>
      <c r="B32" s="19" t="s">
        <v>93</v>
      </c>
      <c r="C32" s="19" t="s">
        <v>94</v>
      </c>
      <c r="D32" s="19" t="s">
        <v>95</v>
      </c>
      <c r="E32" s="19" t="s">
        <v>96</v>
      </c>
      <c r="F32" s="19" t="s">
        <v>97</v>
      </c>
      <c r="G32" s="19" t="s">
        <v>98</v>
      </c>
      <c r="H32" s="19" t="s">
        <v>99</v>
      </c>
      <c r="I32" s="19" t="s">
        <v>100</v>
      </c>
      <c r="J32" s="19" t="s">
        <v>101</v>
      </c>
    </row>
    <row r="33" spans="1:10" ht="360">
      <c r="A33" s="76" t="s">
        <v>168</v>
      </c>
      <c r="B33" s="28" t="s">
        <v>169</v>
      </c>
      <c r="C33" s="28" t="s">
        <v>170</v>
      </c>
      <c r="D33" s="28" t="s">
        <v>171</v>
      </c>
      <c r="E33" s="29" t="s">
        <v>172</v>
      </c>
      <c r="F33" s="29"/>
      <c r="G33" s="29" t="s">
        <v>116</v>
      </c>
      <c r="H33" s="29" t="s">
        <v>108</v>
      </c>
      <c r="I33" s="29" t="s">
        <v>109</v>
      </c>
      <c r="J33" s="29" t="s">
        <v>173</v>
      </c>
    </row>
    <row r="34" spans="1:10" s="32" customFormat="1" ht="23.1" customHeight="1">
      <c r="A34" s="19" t="s">
        <v>42</v>
      </c>
      <c r="B34" s="19" t="s">
        <v>93</v>
      </c>
      <c r="C34" s="19" t="s">
        <v>94</v>
      </c>
      <c r="D34" s="19" t="s">
        <v>95</v>
      </c>
      <c r="E34" s="19" t="s">
        <v>96</v>
      </c>
      <c r="F34" s="19" t="s">
        <v>97</v>
      </c>
      <c r="G34" s="19" t="s">
        <v>98</v>
      </c>
      <c r="H34" s="19" t="s">
        <v>99</v>
      </c>
      <c r="I34" s="19" t="s">
        <v>100</v>
      </c>
      <c r="J34" s="19" t="s">
        <v>101</v>
      </c>
    </row>
    <row r="35" spans="1:10" ht="75" customHeight="1">
      <c r="A35" s="76" t="s">
        <v>145</v>
      </c>
      <c r="B35" s="95" t="s">
        <v>414</v>
      </c>
      <c r="C35" s="95"/>
      <c r="D35" s="95"/>
      <c r="E35" s="95"/>
      <c r="F35" s="29" t="s">
        <v>174</v>
      </c>
      <c r="G35" s="31" t="s">
        <v>116</v>
      </c>
      <c r="H35" s="31" t="s">
        <v>108</v>
      </c>
      <c r="I35" s="31" t="s">
        <v>109</v>
      </c>
      <c r="J35" s="31"/>
    </row>
    <row r="36" spans="1:10" s="32" customFormat="1" ht="23.1" customHeight="1">
      <c r="A36" s="19" t="s">
        <v>54</v>
      </c>
      <c r="B36" s="19" t="s">
        <v>93</v>
      </c>
      <c r="C36" s="19" t="s">
        <v>94</v>
      </c>
      <c r="D36" s="19" t="s">
        <v>95</v>
      </c>
      <c r="E36" s="19" t="s">
        <v>96</v>
      </c>
      <c r="F36" s="19" t="s">
        <v>97</v>
      </c>
      <c r="G36" s="19" t="s">
        <v>98</v>
      </c>
      <c r="H36" s="19" t="s">
        <v>99</v>
      </c>
      <c r="I36" s="19" t="s">
        <v>100</v>
      </c>
      <c r="J36" s="19" t="s">
        <v>101</v>
      </c>
    </row>
    <row r="37" spans="1:10" ht="75" customHeight="1">
      <c r="A37" s="76" t="s">
        <v>175</v>
      </c>
      <c r="B37" s="95" t="s">
        <v>415</v>
      </c>
      <c r="C37" s="95"/>
      <c r="D37" s="95"/>
      <c r="E37" s="95"/>
      <c r="F37" s="29" t="s">
        <v>470</v>
      </c>
      <c r="G37" s="29" t="s">
        <v>116</v>
      </c>
      <c r="H37" s="29" t="s">
        <v>108</v>
      </c>
      <c r="I37" s="29" t="s">
        <v>109</v>
      </c>
      <c r="J37" s="36"/>
    </row>
    <row r="38" spans="1:10" s="32" customFormat="1" ht="23.1" customHeight="1">
      <c r="A38" s="19" t="s">
        <v>66</v>
      </c>
      <c r="B38" s="19" t="s">
        <v>93</v>
      </c>
      <c r="C38" s="19" t="s">
        <v>94</v>
      </c>
      <c r="D38" s="19" t="s">
        <v>95</v>
      </c>
      <c r="E38" s="19" t="s">
        <v>96</v>
      </c>
      <c r="F38" s="19" t="s">
        <v>97</v>
      </c>
      <c r="G38" s="19" t="s">
        <v>98</v>
      </c>
      <c r="H38" s="19" t="s">
        <v>99</v>
      </c>
      <c r="I38" s="19" t="s">
        <v>100</v>
      </c>
      <c r="J38" s="19" t="s">
        <v>101</v>
      </c>
    </row>
    <row r="39" spans="1:10" ht="75" customHeight="1">
      <c r="A39" s="76" t="s">
        <v>176</v>
      </c>
      <c r="B39" s="95" t="s">
        <v>416</v>
      </c>
      <c r="C39" s="95"/>
      <c r="D39" s="95"/>
      <c r="E39" s="95"/>
      <c r="F39" s="29" t="s">
        <v>177</v>
      </c>
      <c r="G39" s="31" t="s">
        <v>116</v>
      </c>
      <c r="H39" s="31" t="s">
        <v>108</v>
      </c>
      <c r="I39" s="31" t="s">
        <v>109</v>
      </c>
      <c r="J39" s="31"/>
    </row>
    <row r="40" spans="1:10" s="26" customFormat="1" ht="23.1" customHeight="1">
      <c r="A40" s="19" t="s">
        <v>75</v>
      </c>
      <c r="B40" s="20" t="s">
        <v>93</v>
      </c>
      <c r="C40" s="20" t="s">
        <v>94</v>
      </c>
      <c r="D40" s="20" t="s">
        <v>95</v>
      </c>
      <c r="E40" s="20" t="s">
        <v>96</v>
      </c>
      <c r="F40" s="21" t="s">
        <v>97</v>
      </c>
      <c r="G40" s="20" t="s">
        <v>98</v>
      </c>
      <c r="H40" s="20" t="s">
        <v>99</v>
      </c>
      <c r="I40" s="20" t="s">
        <v>100</v>
      </c>
      <c r="J40" s="20" t="s">
        <v>101</v>
      </c>
    </row>
    <row r="41" spans="1:10" s="8" customFormat="1" ht="135.75" customHeight="1">
      <c r="A41" s="76" t="s">
        <v>125</v>
      </c>
      <c r="B41" s="29" t="s">
        <v>178</v>
      </c>
      <c r="C41" s="29" t="s">
        <v>127</v>
      </c>
      <c r="D41" s="29" t="s">
        <v>128</v>
      </c>
      <c r="E41" s="29" t="s">
        <v>129</v>
      </c>
      <c r="F41" s="30"/>
      <c r="G41" s="29" t="s">
        <v>130</v>
      </c>
      <c r="H41" s="29" t="s">
        <v>131</v>
      </c>
      <c r="I41" s="29" t="s">
        <v>109</v>
      </c>
      <c r="J41" s="31"/>
    </row>
  </sheetData>
  <mergeCells count="8">
    <mergeCell ref="A1:J1"/>
    <mergeCell ref="B35:E35"/>
    <mergeCell ref="B37:E37"/>
    <mergeCell ref="B39:E39"/>
    <mergeCell ref="B24:E24"/>
    <mergeCell ref="B22:E22"/>
    <mergeCell ref="B20:E20"/>
    <mergeCell ref="B11:E11"/>
  </mergeCells>
  <conditionalFormatting sqref="B3:B4 B6 B8">
    <cfRule type="expression" dxfId="180" priority="205">
      <formula>#REF! = "A"</formula>
    </cfRule>
  </conditionalFormatting>
  <conditionalFormatting sqref="B10:B25">
    <cfRule type="expression" dxfId="179" priority="6">
      <formula>#REF! = "A"</formula>
    </cfRule>
  </conditionalFormatting>
  <conditionalFormatting sqref="B27:B1048576">
    <cfRule type="expression" dxfId="178" priority="2">
      <formula>#REF! = "A"</formula>
    </cfRule>
  </conditionalFormatting>
  <conditionalFormatting sqref="B26:D26">
    <cfRule type="expression" dxfId="177" priority="41">
      <formula>#REF! = "D"</formula>
    </cfRule>
  </conditionalFormatting>
  <conditionalFormatting sqref="C3:C4 C6 C8 C10 C14:C15 C17 C19 C21 C23 C25 C29:C30 C32 C34 C36 C38 C40 C42:C1048576">
    <cfRule type="expression" dxfId="176" priority="206">
      <formula>#REF! = "B"</formula>
    </cfRule>
  </conditionalFormatting>
  <conditionalFormatting sqref="C12">
    <cfRule type="expression" dxfId="175" priority="25">
      <formula>#REF! = "B"</formula>
    </cfRule>
  </conditionalFormatting>
  <conditionalFormatting sqref="C27">
    <cfRule type="expression" dxfId="174" priority="34">
      <formula>#REF! = "B"</formula>
    </cfRule>
  </conditionalFormatting>
  <conditionalFormatting sqref="C13:D13">
    <cfRule type="expression" dxfId="173" priority="5">
      <formula>#REF! = "A"</formula>
    </cfRule>
  </conditionalFormatting>
  <conditionalFormatting sqref="C18:D18">
    <cfRule type="expression" dxfId="172" priority="60">
      <formula>#REF! = "A"</formula>
    </cfRule>
  </conditionalFormatting>
  <conditionalFormatting sqref="C28:D28">
    <cfRule type="expression" dxfId="171" priority="3">
      <formula>#REF! = "A"</formula>
    </cfRule>
  </conditionalFormatting>
  <conditionalFormatting sqref="C33:D33">
    <cfRule type="expression" dxfId="170" priority="42">
      <formula>#REF! = "A"</formula>
    </cfRule>
  </conditionalFormatting>
  <conditionalFormatting sqref="C41:D41">
    <cfRule type="expression" dxfId="169" priority="1">
      <formula>#REF! = "A"</formula>
    </cfRule>
  </conditionalFormatting>
  <conditionalFormatting sqref="D3:D4 D6 D8 D10 D14:D15 D17 D19 D21 D23 D25 D29:D30 D32 D34 D36 D38 D40 D42:D1048576">
    <cfRule type="expression" dxfId="168" priority="207">
      <formula>#REF! = "C"</formula>
    </cfRule>
  </conditionalFormatting>
  <conditionalFormatting sqref="D12">
    <cfRule type="expression" dxfId="167" priority="26">
      <formula>#REF! = "C"</formula>
    </cfRule>
  </conditionalFormatting>
  <conditionalFormatting sqref="D27">
    <cfRule type="expression" dxfId="166" priority="35">
      <formula>#REF! = "C"</formula>
    </cfRule>
  </conditionalFormatting>
  <conditionalFormatting sqref="E3:E4 E6 E8 E10 F14:J15 F17:J17 G18:J18 F19:J19">
    <cfRule type="expression" dxfId="165" priority="208">
      <formula>#REF! = "D"</formula>
    </cfRule>
  </conditionalFormatting>
  <conditionalFormatting sqref="E12:E19">
    <cfRule type="expression" dxfId="164" priority="24">
      <formula>#REF! = "D"</formula>
    </cfRule>
  </conditionalFormatting>
  <conditionalFormatting sqref="E27:E34">
    <cfRule type="expression" dxfId="163" priority="33">
      <formula>#REF! = "D"</formula>
    </cfRule>
  </conditionalFormatting>
  <conditionalFormatting sqref="E40:E1048576">
    <cfRule type="expression" dxfId="162" priority="88">
      <formula>#REF! = "D"</formula>
    </cfRule>
  </conditionalFormatting>
  <conditionalFormatting sqref="E21:J21">
    <cfRule type="expression" dxfId="161" priority="16">
      <formula>#REF! = "D"</formula>
    </cfRule>
  </conditionalFormatting>
  <conditionalFormatting sqref="E23:J23">
    <cfRule type="expression" dxfId="160" priority="15">
      <formula>#REF! = "D"</formula>
    </cfRule>
  </conditionalFormatting>
  <conditionalFormatting sqref="E25:J25">
    <cfRule type="expression" dxfId="159" priority="14">
      <formula>#REF! = "D"</formula>
    </cfRule>
  </conditionalFormatting>
  <conditionalFormatting sqref="E36:J36">
    <cfRule type="expression" dxfId="158" priority="9">
      <formula>#REF! = "D"</formula>
    </cfRule>
  </conditionalFormatting>
  <conditionalFormatting sqref="E38:J38">
    <cfRule type="expression" dxfId="157" priority="8">
      <formula>#REF! = "D"</formula>
    </cfRule>
  </conditionalFormatting>
  <conditionalFormatting sqref="F3:J12">
    <cfRule type="expression" dxfId="156" priority="17">
      <formula>#REF! = "D"</formula>
    </cfRule>
  </conditionalFormatting>
  <conditionalFormatting sqref="F27:J27">
    <cfRule type="expression" dxfId="155" priority="13">
      <formula>#REF! = "D"</formula>
    </cfRule>
  </conditionalFormatting>
  <conditionalFormatting sqref="F29:J30">
    <cfRule type="expression" dxfId="154" priority="12">
      <formula>#REF! = "D"</formula>
    </cfRule>
  </conditionalFormatting>
  <conditionalFormatting sqref="F32:J34">
    <cfRule type="expression" dxfId="153" priority="10">
      <formula>#REF! = "D"</formula>
    </cfRule>
  </conditionalFormatting>
  <conditionalFormatting sqref="F40:J40">
    <cfRule type="expression" dxfId="152" priority="7">
      <formula>#REF! = "D"</formula>
    </cfRule>
  </conditionalFormatting>
  <conditionalFormatting sqref="G13:I13">
    <cfRule type="expression" dxfId="151" priority="20">
      <formula>#REF! = "D"</formula>
    </cfRule>
  </conditionalFormatting>
  <conditionalFormatting sqref="G28:I28">
    <cfRule type="expression" dxfId="150" priority="29">
      <formula>#REF! = "D"</formula>
    </cfRule>
  </conditionalFormatting>
  <conditionalFormatting sqref="G41:I41">
    <cfRule type="expression" dxfId="149" priority="78">
      <formula>#REF! = "D"</formula>
    </cfRule>
  </conditionalFormatting>
  <conditionalFormatting sqref="G22:J22">
    <cfRule type="expression" dxfId="148" priority="102">
      <formula>#REF! = "D"</formula>
    </cfRule>
  </conditionalFormatting>
  <conditionalFormatting sqref="G37:J37">
    <cfRule type="expression" dxfId="147" priority="56">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3" manualBreakCount="3">
    <brk id="13" max="9" man="1"/>
    <brk id="24" max="9" man="1"/>
    <brk id="35" max="9"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23A396B-BD6A-49BB-A371-843AA44CD594}">
          <x14:formula1>
            <xm:f>Validierung!$A$4:$A$7</xm:f>
          </x14:formula1>
          <xm:sqref>G5 G7 G9 G28 G41 G20 G22 G24 G33 G16 G18 G35 G37 G39 G31 G26 G11 G13</xm:sqref>
        </x14:dataValidation>
        <x14:dataValidation type="list" allowBlank="1" showInputMessage="1" showErrorMessage="1" xr:uid="{E0C4DA63-4F86-4261-8E26-4E049BD1310C}">
          <x14:formula1>
            <xm:f>Validierung!$B$4:$B$6</xm:f>
          </x14:formula1>
          <xm:sqref>H11 H9 H7 H18 H20 H37 H26 H24 H22 H16 H31 H33 H35 H41 H39 H28 H13 H5</xm:sqref>
        </x14:dataValidation>
        <x14:dataValidation type="list" allowBlank="1" showInputMessage="1" showErrorMessage="1" xr:uid="{26A5FE2C-6CA1-45B5-8E23-38B5F8A75389}">
          <x14:formula1>
            <xm:f>Validierung!$E$4:$E$6</xm:f>
          </x14:formula1>
          <xm:sqref>I5 I7 I9 I11 I13 I16 I18 I20 I22 I24 I26 I28 I31 I33 I35 I37 I39 I41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39B7-0124-4FE6-98C5-07FC51ABB0C8}">
  <sheetPr>
    <pageSetUpPr fitToPage="1"/>
  </sheetPr>
  <dimension ref="A1:J21"/>
  <sheetViews>
    <sheetView zoomScale="85" zoomScaleNormal="85" workbookViewId="0">
      <pane ySplit="1" topLeftCell="A13" activePane="bottomLeft" state="frozen"/>
      <selection pane="bottomLeft" activeCell="A13" sqref="A13"/>
    </sheetView>
  </sheetViews>
  <sheetFormatPr baseColWidth="10" defaultColWidth="11.375" defaultRowHeight="14.25"/>
  <cols>
    <col min="1" max="1" width="32.625" style="5" customWidth="1"/>
    <col min="2" max="4" width="50.625" style="6" customWidth="1"/>
    <col min="5" max="5" width="28.625" style="6" customWidth="1"/>
    <col min="6" max="6" width="25.625" style="3" customWidth="1"/>
    <col min="7" max="10" width="18.625" style="3" customWidth="1"/>
    <col min="11" max="16384" width="11.375" style="3"/>
  </cols>
  <sheetData>
    <row r="1" spans="1:10" s="37" customFormat="1" ht="33" customHeight="1">
      <c r="A1" s="96" t="s">
        <v>179</v>
      </c>
      <c r="B1" s="97"/>
      <c r="C1" s="97"/>
      <c r="D1" s="97"/>
      <c r="E1" s="97"/>
      <c r="F1" s="97"/>
      <c r="G1" s="97"/>
      <c r="H1" s="97"/>
      <c r="I1" s="97"/>
      <c r="J1" s="98"/>
    </row>
    <row r="2" spans="1:10" ht="24.95" hidden="1" customHeight="1">
      <c r="A2" s="1"/>
      <c r="B2" s="1"/>
      <c r="C2" s="1"/>
      <c r="D2" s="1"/>
      <c r="E2" s="1"/>
      <c r="F2" s="1"/>
      <c r="G2" s="1"/>
      <c r="H2" s="1"/>
      <c r="I2" s="1"/>
      <c r="J2" s="2"/>
    </row>
    <row r="3" spans="1:10" s="26" customFormat="1" ht="23.1" customHeight="1">
      <c r="A3" s="18" t="s">
        <v>6</v>
      </c>
      <c r="B3" s="18" t="s">
        <v>180</v>
      </c>
      <c r="C3" s="18"/>
      <c r="D3" s="18"/>
      <c r="E3" s="18"/>
      <c r="F3" s="18"/>
      <c r="G3" s="18"/>
      <c r="H3" s="18"/>
      <c r="I3" s="18"/>
      <c r="J3" s="18"/>
    </row>
    <row r="4" spans="1:10" s="40" customFormat="1" ht="23.1" customHeight="1">
      <c r="A4" s="39" t="s">
        <v>19</v>
      </c>
      <c r="B4" s="39" t="s">
        <v>93</v>
      </c>
      <c r="C4" s="39" t="s">
        <v>94</v>
      </c>
      <c r="D4" s="39" t="s">
        <v>95</v>
      </c>
      <c r="E4" s="39" t="s">
        <v>96</v>
      </c>
      <c r="F4" s="39" t="s">
        <v>97</v>
      </c>
      <c r="G4" s="39" t="s">
        <v>98</v>
      </c>
      <c r="H4" s="39" t="s">
        <v>99</v>
      </c>
      <c r="I4" s="39" t="s">
        <v>100</v>
      </c>
      <c r="J4" s="39" t="s">
        <v>181</v>
      </c>
    </row>
    <row r="5" spans="1:10" s="41" customFormat="1" ht="282" customHeight="1">
      <c r="A5" s="76" t="s">
        <v>182</v>
      </c>
      <c r="B5" s="29" t="s">
        <v>183</v>
      </c>
      <c r="C5" s="29" t="s">
        <v>184</v>
      </c>
      <c r="D5" s="29" t="s">
        <v>185</v>
      </c>
      <c r="E5" s="29" t="s">
        <v>137</v>
      </c>
      <c r="F5" s="31"/>
      <c r="G5" s="29" t="s">
        <v>130</v>
      </c>
      <c r="H5" s="29" t="s">
        <v>117</v>
      </c>
      <c r="I5" s="29" t="s">
        <v>109</v>
      </c>
      <c r="J5" s="29" t="s">
        <v>20</v>
      </c>
    </row>
    <row r="6" spans="1:10" s="40" customFormat="1" ht="23.1" customHeight="1">
      <c r="A6" s="39" t="s">
        <v>31</v>
      </c>
      <c r="B6" s="39" t="s">
        <v>93</v>
      </c>
      <c r="C6" s="39" t="s">
        <v>94</v>
      </c>
      <c r="D6" s="39" t="s">
        <v>95</v>
      </c>
      <c r="E6" s="39" t="s">
        <v>96</v>
      </c>
      <c r="F6" s="39" t="s">
        <v>97</v>
      </c>
      <c r="G6" s="39" t="s">
        <v>98</v>
      </c>
      <c r="H6" s="39" t="s">
        <v>99</v>
      </c>
      <c r="I6" s="39" t="s">
        <v>100</v>
      </c>
      <c r="J6" s="39" t="s">
        <v>181</v>
      </c>
    </row>
    <row r="7" spans="1:10" s="41" customFormat="1" ht="350.25" customHeight="1">
      <c r="A7" s="76" t="s">
        <v>186</v>
      </c>
      <c r="B7" s="29" t="s">
        <v>187</v>
      </c>
      <c r="C7" s="29" t="s">
        <v>188</v>
      </c>
      <c r="D7" s="29" t="s">
        <v>189</v>
      </c>
      <c r="E7" s="29" t="s">
        <v>190</v>
      </c>
      <c r="F7" s="31"/>
      <c r="G7" s="29" t="s">
        <v>116</v>
      </c>
      <c r="H7" s="29" t="s">
        <v>117</v>
      </c>
      <c r="I7" s="29" t="s">
        <v>109</v>
      </c>
      <c r="J7" s="29" t="s">
        <v>20</v>
      </c>
    </row>
    <row r="8" spans="1:10" s="40" customFormat="1" ht="23.1" customHeight="1">
      <c r="A8" s="39" t="s">
        <v>43</v>
      </c>
      <c r="B8" s="39" t="s">
        <v>93</v>
      </c>
      <c r="C8" s="39" t="s">
        <v>94</v>
      </c>
      <c r="D8" s="39" t="s">
        <v>95</v>
      </c>
      <c r="E8" s="39" t="s">
        <v>96</v>
      </c>
      <c r="F8" s="39" t="s">
        <v>97</v>
      </c>
      <c r="G8" s="39" t="s">
        <v>98</v>
      </c>
      <c r="H8" s="39" t="s">
        <v>99</v>
      </c>
      <c r="I8" s="39" t="s">
        <v>100</v>
      </c>
      <c r="J8" s="39" t="s">
        <v>181</v>
      </c>
    </row>
    <row r="9" spans="1:10" s="41" customFormat="1" ht="191.25" customHeight="1">
      <c r="A9" s="76" t="s">
        <v>191</v>
      </c>
      <c r="B9" s="29" t="s">
        <v>192</v>
      </c>
      <c r="C9" s="29" t="s">
        <v>193</v>
      </c>
      <c r="D9" s="29" t="s">
        <v>194</v>
      </c>
      <c r="E9" s="29" t="s">
        <v>195</v>
      </c>
      <c r="F9" s="31"/>
      <c r="G9" s="29" t="s">
        <v>116</v>
      </c>
      <c r="H9" s="29" t="s">
        <v>117</v>
      </c>
      <c r="I9" s="29" t="s">
        <v>109</v>
      </c>
      <c r="J9" s="31"/>
    </row>
    <row r="10" spans="1:10" s="40" customFormat="1" ht="23.1" customHeight="1">
      <c r="A10" s="39" t="s">
        <v>55</v>
      </c>
      <c r="B10" s="39" t="s">
        <v>93</v>
      </c>
      <c r="C10" s="39" t="s">
        <v>94</v>
      </c>
      <c r="D10" s="39" t="s">
        <v>95</v>
      </c>
      <c r="E10" s="39" t="s">
        <v>96</v>
      </c>
      <c r="F10" s="39" t="s">
        <v>97</v>
      </c>
      <c r="G10" s="39" t="s">
        <v>98</v>
      </c>
      <c r="H10" s="39" t="s">
        <v>99</v>
      </c>
      <c r="I10" s="39" t="s">
        <v>100</v>
      </c>
      <c r="J10" s="39" t="s">
        <v>181</v>
      </c>
    </row>
    <row r="11" spans="1:10" s="41" customFormat="1" ht="163.5" customHeight="1">
      <c r="A11" s="76" t="s">
        <v>196</v>
      </c>
      <c r="B11" s="29" t="s">
        <v>197</v>
      </c>
      <c r="C11" s="29" t="s">
        <v>198</v>
      </c>
      <c r="D11" s="29" t="s">
        <v>199</v>
      </c>
      <c r="E11" s="29" t="s">
        <v>200</v>
      </c>
      <c r="F11" s="31"/>
      <c r="G11" s="29" t="s">
        <v>130</v>
      </c>
      <c r="H11" s="29" t="s">
        <v>108</v>
      </c>
      <c r="I11" s="29" t="s">
        <v>124</v>
      </c>
      <c r="J11" s="31"/>
    </row>
    <row r="12" spans="1:10" s="40" customFormat="1" ht="23.1" customHeight="1">
      <c r="A12" s="39" t="s">
        <v>67</v>
      </c>
      <c r="B12" s="39" t="s">
        <v>93</v>
      </c>
      <c r="C12" s="39" t="s">
        <v>94</v>
      </c>
      <c r="D12" s="39" t="s">
        <v>95</v>
      </c>
      <c r="E12" s="39" t="s">
        <v>96</v>
      </c>
      <c r="F12" s="39" t="s">
        <v>97</v>
      </c>
      <c r="G12" s="39" t="s">
        <v>98</v>
      </c>
      <c r="H12" s="39" t="s">
        <v>99</v>
      </c>
      <c r="I12" s="39" t="s">
        <v>100</v>
      </c>
      <c r="J12" s="39" t="s">
        <v>181</v>
      </c>
    </row>
    <row r="13" spans="1:10" s="41" customFormat="1" ht="191.25">
      <c r="A13" s="76" t="s">
        <v>201</v>
      </c>
      <c r="B13" s="38" t="s">
        <v>420</v>
      </c>
      <c r="C13" s="29" t="s">
        <v>202</v>
      </c>
      <c r="D13" s="38" t="s">
        <v>203</v>
      </c>
      <c r="E13" s="29" t="s">
        <v>204</v>
      </c>
      <c r="F13" s="31"/>
      <c r="G13" s="29" t="s">
        <v>130</v>
      </c>
      <c r="H13" s="29" t="s">
        <v>108</v>
      </c>
      <c r="I13" s="29" t="s">
        <v>124</v>
      </c>
      <c r="J13" s="31"/>
    </row>
    <row r="14" spans="1:10" s="40" customFormat="1" ht="23.1" customHeight="1">
      <c r="A14" s="39" t="s">
        <v>76</v>
      </c>
      <c r="B14" s="39" t="s">
        <v>93</v>
      </c>
      <c r="C14" s="39" t="s">
        <v>94</v>
      </c>
      <c r="D14" s="39" t="s">
        <v>95</v>
      </c>
      <c r="E14" s="39" t="s">
        <v>96</v>
      </c>
      <c r="F14" s="39" t="s">
        <v>97</v>
      </c>
      <c r="G14" s="39" t="s">
        <v>98</v>
      </c>
      <c r="H14" s="39" t="s">
        <v>99</v>
      </c>
      <c r="I14" s="39" t="s">
        <v>100</v>
      </c>
      <c r="J14" s="39" t="s">
        <v>181</v>
      </c>
    </row>
    <row r="15" spans="1:10" s="41" customFormat="1" ht="151.5" customHeight="1">
      <c r="A15" s="76" t="s">
        <v>205</v>
      </c>
      <c r="B15" s="29" t="s">
        <v>206</v>
      </c>
      <c r="C15" s="29" t="s">
        <v>207</v>
      </c>
      <c r="D15" s="29" t="s">
        <v>208</v>
      </c>
      <c r="E15" s="29" t="s">
        <v>209</v>
      </c>
      <c r="F15" s="31"/>
      <c r="G15" s="29" t="s">
        <v>116</v>
      </c>
      <c r="H15" s="29" t="s">
        <v>108</v>
      </c>
      <c r="I15" s="29" t="s">
        <v>124</v>
      </c>
      <c r="J15" s="31" t="s">
        <v>16</v>
      </c>
    </row>
    <row r="16" spans="1:10" s="40" customFormat="1" ht="23.1" customHeight="1">
      <c r="A16" s="39" t="s">
        <v>83</v>
      </c>
      <c r="B16" s="39" t="s">
        <v>93</v>
      </c>
      <c r="C16" s="39" t="s">
        <v>94</v>
      </c>
      <c r="D16" s="39" t="s">
        <v>95</v>
      </c>
      <c r="E16" s="39" t="s">
        <v>96</v>
      </c>
      <c r="F16" s="39" t="s">
        <v>97</v>
      </c>
      <c r="G16" s="39" t="s">
        <v>98</v>
      </c>
      <c r="H16" s="39" t="s">
        <v>99</v>
      </c>
      <c r="I16" s="39" t="s">
        <v>100</v>
      </c>
      <c r="J16" s="39" t="s">
        <v>181</v>
      </c>
    </row>
    <row r="17" spans="1:10" s="41" customFormat="1" ht="65.099999999999994" customHeight="1">
      <c r="A17" s="77" t="s">
        <v>210</v>
      </c>
      <c r="B17" s="95" t="s">
        <v>418</v>
      </c>
      <c r="C17" s="95"/>
      <c r="D17" s="95"/>
      <c r="E17" s="95"/>
      <c r="F17" s="31"/>
      <c r="G17" s="29" t="s">
        <v>130</v>
      </c>
      <c r="H17" s="29" t="s">
        <v>108</v>
      </c>
      <c r="I17" s="29" t="s">
        <v>124</v>
      </c>
      <c r="J17" s="31"/>
    </row>
    <row r="18" spans="1:10" s="40" customFormat="1" ht="23.1" customHeight="1">
      <c r="A18" s="19" t="s">
        <v>88</v>
      </c>
      <c r="B18" s="19" t="s">
        <v>93</v>
      </c>
      <c r="C18" s="19" t="s">
        <v>94</v>
      </c>
      <c r="D18" s="19" t="s">
        <v>95</v>
      </c>
      <c r="E18" s="19" t="s">
        <v>96</v>
      </c>
      <c r="F18" s="19" t="s">
        <v>97</v>
      </c>
      <c r="G18" s="19" t="s">
        <v>98</v>
      </c>
      <c r="H18" s="19" t="s">
        <v>99</v>
      </c>
      <c r="I18" s="19" t="s">
        <v>100</v>
      </c>
      <c r="J18" s="19" t="s">
        <v>181</v>
      </c>
    </row>
    <row r="19" spans="1:10" s="41" customFormat="1" ht="65.099999999999994" customHeight="1">
      <c r="A19" s="77" t="s">
        <v>211</v>
      </c>
      <c r="B19" s="95" t="s">
        <v>419</v>
      </c>
      <c r="C19" s="95"/>
      <c r="D19" s="95"/>
      <c r="E19" s="95"/>
      <c r="F19" s="31"/>
      <c r="G19" s="29" t="s">
        <v>130</v>
      </c>
      <c r="H19" s="29" t="s">
        <v>108</v>
      </c>
      <c r="I19" s="29" t="s">
        <v>124</v>
      </c>
      <c r="J19" s="31"/>
    </row>
    <row r="20" spans="1:10" s="40" customFormat="1" ht="23.1" customHeight="1">
      <c r="A20" s="19" t="s">
        <v>90</v>
      </c>
      <c r="B20" s="19" t="s">
        <v>93</v>
      </c>
      <c r="C20" s="19" t="s">
        <v>94</v>
      </c>
      <c r="D20" s="19" t="s">
        <v>95</v>
      </c>
      <c r="E20" s="19" t="s">
        <v>96</v>
      </c>
      <c r="F20" s="19" t="s">
        <v>97</v>
      </c>
      <c r="G20" s="19" t="s">
        <v>98</v>
      </c>
      <c r="H20" s="19" t="s">
        <v>99</v>
      </c>
      <c r="I20" s="19" t="s">
        <v>100</v>
      </c>
      <c r="J20" s="19" t="s">
        <v>181</v>
      </c>
    </row>
    <row r="21" spans="1:10" s="7" customFormat="1" ht="129" customHeight="1">
      <c r="A21" s="77" t="s">
        <v>212</v>
      </c>
      <c r="B21" s="29" t="s">
        <v>213</v>
      </c>
      <c r="C21" s="29" t="s">
        <v>214</v>
      </c>
      <c r="D21" s="29" t="s">
        <v>128</v>
      </c>
      <c r="E21" s="29" t="s">
        <v>160</v>
      </c>
      <c r="F21" s="31"/>
      <c r="G21" s="29" t="s">
        <v>130</v>
      </c>
      <c r="H21" s="29" t="s">
        <v>131</v>
      </c>
      <c r="I21" s="29" t="s">
        <v>109</v>
      </c>
      <c r="J21" s="31"/>
    </row>
  </sheetData>
  <mergeCells count="3">
    <mergeCell ref="A1:J1"/>
    <mergeCell ref="B19:E19"/>
    <mergeCell ref="B17:E17"/>
  </mergeCells>
  <conditionalFormatting sqref="B3:B1048576">
    <cfRule type="expression" dxfId="146" priority="2">
      <formula>#REF! = "A"</formula>
    </cfRule>
  </conditionalFormatting>
  <conditionalFormatting sqref="C3:C16 C18 C22:C1048576">
    <cfRule type="expression" dxfId="145" priority="138">
      <formula>#REF! = "B"</formula>
    </cfRule>
  </conditionalFormatting>
  <conditionalFormatting sqref="C20">
    <cfRule type="expression" dxfId="144" priority="55">
      <formula>#REF! = "B"</formula>
    </cfRule>
  </conditionalFormatting>
  <conditionalFormatting sqref="C21:D21">
    <cfRule type="expression" dxfId="143" priority="1">
      <formula>#REF! = "A"</formula>
    </cfRule>
  </conditionalFormatting>
  <conditionalFormatting sqref="D3:D16 D18 D20 D22:D1048576">
    <cfRule type="expression" dxfId="142" priority="139">
      <formula>#REF! = "C"</formula>
    </cfRule>
  </conditionalFormatting>
  <conditionalFormatting sqref="D9 E10:E16">
    <cfRule type="expression" dxfId="141" priority="140">
      <formula>#REF! = "D"</formula>
    </cfRule>
  </conditionalFormatting>
  <conditionalFormatting sqref="E4:E8">
    <cfRule type="expression" dxfId="140" priority="14">
      <formula>#REF! = "D"</formula>
    </cfRule>
  </conditionalFormatting>
  <conditionalFormatting sqref="E20:E1048576">
    <cfRule type="expression" dxfId="139" priority="57">
      <formula>#REF! = "D"</formula>
    </cfRule>
  </conditionalFormatting>
  <conditionalFormatting sqref="E3:J3">
    <cfRule type="expression" dxfId="138" priority="80">
      <formula>#REF! = "D"</formula>
    </cfRule>
  </conditionalFormatting>
  <conditionalFormatting sqref="E18:J18">
    <cfRule type="expression" dxfId="137" priority="4">
      <formula>#REF! = "D"</formula>
    </cfRule>
  </conditionalFormatting>
  <conditionalFormatting sqref="F4:J4">
    <cfRule type="expression" dxfId="136" priority="42">
      <formula>#REF! = "D"</formula>
    </cfRule>
  </conditionalFormatting>
  <conditionalFormatting sqref="F6:J6">
    <cfRule type="expression" dxfId="135" priority="10">
      <formula>#REF! = "D"</formula>
    </cfRule>
  </conditionalFormatting>
  <conditionalFormatting sqref="F8:J8">
    <cfRule type="expression" dxfId="134" priority="9">
      <formula>#REF! = "D"</formula>
    </cfRule>
  </conditionalFormatting>
  <conditionalFormatting sqref="F10:J10">
    <cfRule type="expression" dxfId="133" priority="8">
      <formula>#REF! = "D"</formula>
    </cfRule>
  </conditionalFormatting>
  <conditionalFormatting sqref="F12:J12">
    <cfRule type="expression" dxfId="132" priority="7">
      <formula>#REF! = "D"</formula>
    </cfRule>
  </conditionalFormatting>
  <conditionalFormatting sqref="F14:J14">
    <cfRule type="expression" dxfId="131" priority="6">
      <formula>#REF! = "D"</formula>
    </cfRule>
  </conditionalFormatting>
  <conditionalFormatting sqref="F16:J16">
    <cfRule type="expression" dxfId="130" priority="5">
      <formula>#REF! = "D"</formula>
    </cfRule>
  </conditionalFormatting>
  <conditionalFormatting sqref="F20:J20">
    <cfRule type="expression" dxfId="129" priority="3">
      <formula>#REF! = "D"</formula>
    </cfRule>
  </conditionalFormatting>
  <conditionalFormatting sqref="G9:I9">
    <cfRule type="expression" dxfId="128" priority="12">
      <formula>#REF! = "A"</formula>
    </cfRule>
  </conditionalFormatting>
  <conditionalFormatting sqref="G11:I11 G13:I13 G15:I15">
    <cfRule type="expression" dxfId="127" priority="26">
      <formula>#REF! = "A"</formula>
    </cfRule>
  </conditionalFormatting>
  <conditionalFormatting sqref="G17:I17">
    <cfRule type="expression" dxfId="126" priority="21">
      <formula>#REF! = "A"</formula>
    </cfRule>
  </conditionalFormatting>
  <conditionalFormatting sqref="G19:I19">
    <cfRule type="expression" dxfId="125" priority="28">
      <formula>#REF! = "A"</formula>
    </cfRule>
  </conditionalFormatting>
  <conditionalFormatting sqref="G21:I21">
    <cfRule type="expression" dxfId="124" priority="47">
      <formula>#REF! = "D"</formula>
    </cfRule>
  </conditionalFormatting>
  <conditionalFormatting sqref="G5:J5">
    <cfRule type="expression" dxfId="123" priority="11">
      <formula>#REF! = "A"</formula>
    </cfRule>
  </conditionalFormatting>
  <conditionalFormatting sqref="G7:J7">
    <cfRule type="expression" dxfId="122" priority="13">
      <formula>#REF! = "A"</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1" manualBreakCount="1">
    <brk id="11" max="16383" man="1"/>
  </rowBreak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FFF1F3E9-55E3-4794-8945-85DF789D7368}">
          <x14:formula1>
            <xm:f>Validierung!$A$4:$A$7</xm:f>
          </x14:formula1>
          <xm:sqref>G5 G9 G7 G19 G21 G17 G15 G11 G13</xm:sqref>
        </x14:dataValidation>
        <x14:dataValidation type="list" allowBlank="1" showInputMessage="1" showErrorMessage="1" xr:uid="{9413AD45-A3D2-462E-B877-DB4B944AA119}">
          <x14:formula1>
            <xm:f>Validierung!$B$4:$B$6</xm:f>
          </x14:formula1>
          <xm:sqref>H21 H9 H11 H7 H15 H19 H17 H13 H5</xm:sqref>
        </x14:dataValidation>
        <x14:dataValidation type="list" allowBlank="1" showInputMessage="1" showErrorMessage="1" xr:uid="{61263D62-DD04-4ED7-A1A6-D4BD9C23AFD7}">
          <x14:formula1>
            <xm:f>Validierung!$E$4:$E$6</xm:f>
          </x14:formula1>
          <xm:sqref>I5 I7 I9 I11 I13 I15 I17 I19 I21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209D-6E27-4E60-8C9F-E6686B23ED87}">
  <sheetPr>
    <pageSetUpPr fitToPage="1"/>
  </sheetPr>
  <dimension ref="A1:J28"/>
  <sheetViews>
    <sheetView topLeftCell="B1" zoomScale="115" zoomScaleNormal="115" workbookViewId="0">
      <pane ySplit="1" topLeftCell="A22" activePane="bottomLeft" state="frozen"/>
      <selection pane="bottomLeft" activeCell="E24" sqref="E24"/>
    </sheetView>
  </sheetViews>
  <sheetFormatPr baseColWidth="10" defaultColWidth="11.375" defaultRowHeight="14.25"/>
  <cols>
    <col min="1" max="1" width="32.625" style="5" customWidth="1"/>
    <col min="2" max="4" width="50.625" style="6" customWidth="1"/>
    <col min="5" max="5" width="28.625" style="6" customWidth="1"/>
    <col min="6" max="6" width="25.625" style="3" customWidth="1"/>
    <col min="7" max="10" width="18.625" style="3" customWidth="1"/>
    <col min="11" max="16384" width="11.375" style="3"/>
  </cols>
  <sheetData>
    <row r="1" spans="1:10" s="8" customFormat="1" ht="33" customHeight="1">
      <c r="A1" s="99" t="s">
        <v>215</v>
      </c>
      <c r="B1" s="100"/>
      <c r="C1" s="100"/>
      <c r="D1" s="100"/>
      <c r="E1" s="100"/>
      <c r="F1" s="100"/>
      <c r="G1" s="100"/>
      <c r="H1" s="100"/>
      <c r="I1" s="100"/>
      <c r="J1" s="101"/>
    </row>
    <row r="2" spans="1:10" ht="24.95" hidden="1" customHeight="1">
      <c r="A2" s="23"/>
      <c r="B2" s="23"/>
      <c r="C2" s="23"/>
      <c r="D2" s="23"/>
      <c r="E2" s="23"/>
      <c r="F2" s="23"/>
      <c r="G2" s="23"/>
      <c r="H2" s="23"/>
      <c r="I2" s="23"/>
      <c r="J2" s="23"/>
    </row>
    <row r="3" spans="1:10" s="32" customFormat="1" ht="23.1" customHeight="1">
      <c r="A3" s="49" t="s">
        <v>7</v>
      </c>
      <c r="B3" s="49" t="s">
        <v>216</v>
      </c>
      <c r="C3" s="49"/>
      <c r="D3" s="49"/>
      <c r="E3" s="49"/>
      <c r="F3" s="49"/>
      <c r="G3" s="49"/>
      <c r="H3" s="49"/>
      <c r="I3" s="49"/>
      <c r="J3" s="49"/>
    </row>
    <row r="4" spans="1:10" s="32" customFormat="1" ht="23.1" customHeight="1">
      <c r="A4" s="50" t="s">
        <v>20</v>
      </c>
      <c r="B4" s="50" t="s">
        <v>93</v>
      </c>
      <c r="C4" s="50" t="s">
        <v>94</v>
      </c>
      <c r="D4" s="50" t="s">
        <v>95</v>
      </c>
      <c r="E4" s="50" t="s">
        <v>96</v>
      </c>
      <c r="F4" s="50" t="s">
        <v>97</v>
      </c>
      <c r="G4" s="50" t="s">
        <v>98</v>
      </c>
      <c r="H4" s="50" t="s">
        <v>99</v>
      </c>
      <c r="I4" s="50" t="s">
        <v>100</v>
      </c>
      <c r="J4" s="50" t="s">
        <v>101</v>
      </c>
    </row>
    <row r="5" spans="1:10" s="42" customFormat="1" ht="243" customHeight="1">
      <c r="A5" s="78" t="s">
        <v>217</v>
      </c>
      <c r="B5" s="44" t="s">
        <v>469</v>
      </c>
      <c r="C5" s="44" t="s">
        <v>454</v>
      </c>
      <c r="D5" s="44" t="s">
        <v>218</v>
      </c>
      <c r="E5" s="43" t="s">
        <v>219</v>
      </c>
      <c r="F5" s="43" t="s">
        <v>220</v>
      </c>
      <c r="G5" s="43" t="s">
        <v>130</v>
      </c>
      <c r="H5" s="43" t="s">
        <v>117</v>
      </c>
      <c r="I5" s="43" t="s">
        <v>109</v>
      </c>
      <c r="J5" s="44" t="s">
        <v>221</v>
      </c>
    </row>
    <row r="6" spans="1:10" s="32" customFormat="1" ht="23.1" customHeight="1">
      <c r="A6" s="50" t="s">
        <v>32</v>
      </c>
      <c r="B6" s="50" t="s">
        <v>93</v>
      </c>
      <c r="C6" s="50" t="s">
        <v>94</v>
      </c>
      <c r="D6" s="50" t="s">
        <v>95</v>
      </c>
      <c r="E6" s="50" t="s">
        <v>96</v>
      </c>
      <c r="F6" s="50" t="s">
        <v>97</v>
      </c>
      <c r="G6" s="50" t="s">
        <v>98</v>
      </c>
      <c r="H6" s="50" t="s">
        <v>99</v>
      </c>
      <c r="I6" s="50" t="s">
        <v>100</v>
      </c>
      <c r="J6" s="50" t="s">
        <v>101</v>
      </c>
    </row>
    <row r="7" spans="1:10" ht="196.5" customHeight="1">
      <c r="A7" s="78" t="s">
        <v>222</v>
      </c>
      <c r="B7" s="43" t="s">
        <v>223</v>
      </c>
      <c r="C7" s="43" t="s">
        <v>224</v>
      </c>
      <c r="D7" s="43" t="s">
        <v>225</v>
      </c>
      <c r="E7" s="43" t="s">
        <v>137</v>
      </c>
      <c r="F7" s="43"/>
      <c r="G7" s="43" t="s">
        <v>130</v>
      </c>
      <c r="H7" s="43" t="s">
        <v>117</v>
      </c>
      <c r="I7" s="43" t="s">
        <v>109</v>
      </c>
      <c r="J7" s="44" t="s">
        <v>20</v>
      </c>
    </row>
    <row r="8" spans="1:10" s="32" customFormat="1" ht="23.1" customHeight="1">
      <c r="A8" s="50" t="s">
        <v>44</v>
      </c>
      <c r="B8" s="50"/>
      <c r="C8" s="50" t="s">
        <v>94</v>
      </c>
      <c r="D8" s="50" t="s">
        <v>95</v>
      </c>
      <c r="E8" s="50" t="s">
        <v>96</v>
      </c>
      <c r="F8" s="50" t="s">
        <v>97</v>
      </c>
      <c r="G8" s="50" t="s">
        <v>98</v>
      </c>
      <c r="H8" s="50" t="s">
        <v>99</v>
      </c>
      <c r="I8" s="50" t="s">
        <v>100</v>
      </c>
      <c r="J8" s="50" t="s">
        <v>181</v>
      </c>
    </row>
    <row r="9" spans="1:10" ht="129.75" customHeight="1">
      <c r="A9" s="78" t="s">
        <v>226</v>
      </c>
      <c r="B9" s="43" t="s">
        <v>455</v>
      </c>
      <c r="C9" s="43" t="s">
        <v>456</v>
      </c>
      <c r="D9" s="43" t="s">
        <v>457</v>
      </c>
      <c r="E9" s="43" t="s">
        <v>227</v>
      </c>
      <c r="F9" s="43"/>
      <c r="G9" s="43" t="s">
        <v>130</v>
      </c>
      <c r="H9" s="45" t="s">
        <v>117</v>
      </c>
      <c r="I9" s="45" t="s">
        <v>109</v>
      </c>
      <c r="J9" s="43" t="s">
        <v>228</v>
      </c>
    </row>
    <row r="10" spans="1:10" s="32" customFormat="1" ht="23.1" customHeight="1">
      <c r="A10" s="50" t="s">
        <v>56</v>
      </c>
      <c r="B10" s="50" t="s">
        <v>93</v>
      </c>
      <c r="C10" s="50" t="s">
        <v>94</v>
      </c>
      <c r="D10" s="50" t="s">
        <v>95</v>
      </c>
      <c r="E10" s="50" t="s">
        <v>96</v>
      </c>
      <c r="F10" s="50" t="s">
        <v>97</v>
      </c>
      <c r="G10" s="50" t="s">
        <v>98</v>
      </c>
      <c r="H10" s="50" t="s">
        <v>99</v>
      </c>
      <c r="I10" s="50" t="s">
        <v>100</v>
      </c>
      <c r="J10" s="50" t="s">
        <v>181</v>
      </c>
    </row>
    <row r="11" spans="1:10" ht="177.75" customHeight="1">
      <c r="A11" s="78" t="s">
        <v>229</v>
      </c>
      <c r="B11" s="44" t="s">
        <v>230</v>
      </c>
      <c r="C11" s="46" t="s">
        <v>231</v>
      </c>
      <c r="D11" s="43" t="s">
        <v>232</v>
      </c>
      <c r="E11" s="43" t="s">
        <v>233</v>
      </c>
      <c r="F11" s="43" t="s">
        <v>234</v>
      </c>
      <c r="G11" s="43" t="s">
        <v>107</v>
      </c>
      <c r="H11" s="45" t="s">
        <v>117</v>
      </c>
      <c r="I11" s="45" t="s">
        <v>109</v>
      </c>
      <c r="J11" s="43" t="s">
        <v>235</v>
      </c>
    </row>
    <row r="12" spans="1:10" s="32" customFormat="1" ht="23.1" customHeight="1">
      <c r="A12" s="50" t="s">
        <v>68</v>
      </c>
      <c r="B12" s="50" t="s">
        <v>93</v>
      </c>
      <c r="C12" s="50" t="s">
        <v>94</v>
      </c>
      <c r="D12" s="50" t="s">
        <v>95</v>
      </c>
      <c r="E12" s="50" t="s">
        <v>96</v>
      </c>
      <c r="F12" s="50" t="s">
        <v>97</v>
      </c>
      <c r="G12" s="50" t="s">
        <v>98</v>
      </c>
      <c r="H12" s="50" t="s">
        <v>99</v>
      </c>
      <c r="I12" s="50" t="s">
        <v>100</v>
      </c>
      <c r="J12" s="50" t="s">
        <v>181</v>
      </c>
    </row>
    <row r="13" spans="1:10" ht="36" customHeight="1">
      <c r="A13" s="78" t="s">
        <v>236</v>
      </c>
      <c r="B13" s="95" t="s">
        <v>421</v>
      </c>
      <c r="C13" s="95"/>
      <c r="D13" s="95"/>
      <c r="E13" s="95"/>
      <c r="F13" s="43"/>
      <c r="G13" s="43" t="s">
        <v>107</v>
      </c>
      <c r="H13" s="45" t="s">
        <v>117</v>
      </c>
      <c r="I13" s="45" t="s">
        <v>109</v>
      </c>
      <c r="J13" s="43"/>
    </row>
    <row r="14" spans="1:10" s="32" customFormat="1" ht="23.1" customHeight="1">
      <c r="A14" s="50" t="s">
        <v>77</v>
      </c>
      <c r="B14" s="50" t="s">
        <v>93</v>
      </c>
      <c r="C14" s="50" t="s">
        <v>94</v>
      </c>
      <c r="D14" s="50" t="s">
        <v>95</v>
      </c>
      <c r="E14" s="50" t="s">
        <v>96</v>
      </c>
      <c r="F14" s="50" t="s">
        <v>97</v>
      </c>
      <c r="G14" s="50" t="s">
        <v>98</v>
      </c>
      <c r="H14" s="50" t="s">
        <v>99</v>
      </c>
      <c r="I14" s="50" t="s">
        <v>100</v>
      </c>
      <c r="J14" s="50" t="s">
        <v>181</v>
      </c>
    </row>
    <row r="15" spans="1:10" ht="274.5" customHeight="1">
      <c r="A15" s="78" t="s">
        <v>237</v>
      </c>
      <c r="B15" s="44" t="s">
        <v>471</v>
      </c>
      <c r="C15" s="44" t="s">
        <v>472</v>
      </c>
      <c r="D15" s="44" t="s">
        <v>422</v>
      </c>
      <c r="E15" s="43" t="s">
        <v>238</v>
      </c>
      <c r="F15" s="43" t="s">
        <v>239</v>
      </c>
      <c r="G15" s="43" t="s">
        <v>116</v>
      </c>
      <c r="H15" s="45" t="s">
        <v>117</v>
      </c>
      <c r="I15" s="45" t="s">
        <v>124</v>
      </c>
      <c r="J15" s="43" t="s">
        <v>240</v>
      </c>
    </row>
    <row r="16" spans="1:10" s="32" customFormat="1" ht="23.1" customHeight="1">
      <c r="A16" s="50" t="s">
        <v>84</v>
      </c>
      <c r="B16" s="50" t="s">
        <v>93</v>
      </c>
      <c r="C16" s="50" t="s">
        <v>94</v>
      </c>
      <c r="D16" s="50" t="s">
        <v>95</v>
      </c>
      <c r="E16" s="50" t="s">
        <v>96</v>
      </c>
      <c r="F16" s="50" t="s">
        <v>97</v>
      </c>
      <c r="G16" s="50" t="s">
        <v>98</v>
      </c>
      <c r="H16" s="50" t="s">
        <v>99</v>
      </c>
      <c r="I16" s="50" t="s">
        <v>100</v>
      </c>
      <c r="J16" s="50" t="s">
        <v>181</v>
      </c>
    </row>
    <row r="17" spans="1:10" s="4" customFormat="1" ht="409.5" customHeight="1">
      <c r="A17" s="78" t="s">
        <v>241</v>
      </c>
      <c r="B17" s="44" t="s">
        <v>473</v>
      </c>
      <c r="C17" s="43" t="s">
        <v>474</v>
      </c>
      <c r="D17" s="104" t="s">
        <v>475</v>
      </c>
      <c r="E17" s="43" t="s">
        <v>242</v>
      </c>
      <c r="F17" s="43"/>
      <c r="G17" s="43" t="s">
        <v>116</v>
      </c>
      <c r="H17" s="45" t="s">
        <v>108</v>
      </c>
      <c r="I17" s="45" t="s">
        <v>124</v>
      </c>
      <c r="J17" s="43" t="s">
        <v>243</v>
      </c>
    </row>
    <row r="18" spans="1:10" s="32" customFormat="1" ht="23.1" customHeight="1">
      <c r="A18" s="50" t="s">
        <v>89</v>
      </c>
      <c r="B18" s="50" t="s">
        <v>93</v>
      </c>
      <c r="C18" s="50" t="s">
        <v>94</v>
      </c>
      <c r="D18" s="50" t="s">
        <v>95</v>
      </c>
      <c r="E18" s="50" t="s">
        <v>96</v>
      </c>
      <c r="F18" s="50" t="s">
        <v>97</v>
      </c>
      <c r="G18" s="50" t="s">
        <v>98</v>
      </c>
      <c r="H18" s="50" t="s">
        <v>99</v>
      </c>
      <c r="I18" s="50" t="s">
        <v>100</v>
      </c>
      <c r="J18" s="50" t="s">
        <v>181</v>
      </c>
    </row>
    <row r="19" spans="1:10" s="4" customFormat="1" ht="128.25" customHeight="1">
      <c r="A19" s="78" t="s">
        <v>244</v>
      </c>
      <c r="B19" s="43" t="s">
        <v>245</v>
      </c>
      <c r="C19" s="43" t="s">
        <v>246</v>
      </c>
      <c r="D19" s="43" t="s">
        <v>128</v>
      </c>
      <c r="E19" s="43" t="s">
        <v>129</v>
      </c>
      <c r="F19" s="47"/>
      <c r="G19" s="43" t="s">
        <v>130</v>
      </c>
      <c r="H19" s="43" t="s">
        <v>131</v>
      </c>
      <c r="I19" s="43" t="s">
        <v>109</v>
      </c>
      <c r="J19" s="45"/>
    </row>
    <row r="20" spans="1:10" s="4" customFormat="1" ht="24.95" customHeight="1">
      <c r="A20" s="49" t="s">
        <v>8</v>
      </c>
      <c r="B20" s="49" t="s">
        <v>247</v>
      </c>
      <c r="C20" s="49"/>
      <c r="D20" s="49"/>
      <c r="E20" s="49"/>
      <c r="F20" s="49"/>
      <c r="G20" s="49"/>
      <c r="H20" s="49"/>
      <c r="I20" s="49"/>
      <c r="J20" s="49"/>
    </row>
    <row r="21" spans="1:10" s="32" customFormat="1" ht="23.1" customHeight="1">
      <c r="A21" s="50" t="s">
        <v>21</v>
      </c>
      <c r="B21" s="50" t="s">
        <v>93</v>
      </c>
      <c r="C21" s="50" t="s">
        <v>94</v>
      </c>
      <c r="D21" s="50" t="s">
        <v>95</v>
      </c>
      <c r="E21" s="50" t="s">
        <v>96</v>
      </c>
      <c r="F21" s="50" t="s">
        <v>97</v>
      </c>
      <c r="G21" s="50" t="s">
        <v>98</v>
      </c>
      <c r="H21" s="50" t="s">
        <v>99</v>
      </c>
      <c r="I21" s="50" t="s">
        <v>100</v>
      </c>
      <c r="J21" s="50" t="s">
        <v>101</v>
      </c>
    </row>
    <row r="22" spans="1:10" ht="186.75" customHeight="1">
      <c r="A22" s="78" t="s">
        <v>476</v>
      </c>
      <c r="B22" s="43" t="s">
        <v>248</v>
      </c>
      <c r="C22" s="43" t="s">
        <v>249</v>
      </c>
      <c r="D22" s="43" t="s">
        <v>250</v>
      </c>
      <c r="E22" s="43" t="s">
        <v>137</v>
      </c>
      <c r="F22" s="43"/>
      <c r="G22" s="43" t="s">
        <v>130</v>
      </c>
      <c r="H22" s="43" t="s">
        <v>117</v>
      </c>
      <c r="I22" s="43" t="s">
        <v>109</v>
      </c>
      <c r="J22" s="44" t="s">
        <v>20</v>
      </c>
    </row>
    <row r="23" spans="1:10" s="32" customFormat="1" ht="23.1" customHeight="1">
      <c r="A23" s="50" t="s">
        <v>33</v>
      </c>
      <c r="B23" s="50" t="s">
        <v>93</v>
      </c>
      <c r="C23" s="50" t="s">
        <v>94</v>
      </c>
      <c r="D23" s="50" t="s">
        <v>95</v>
      </c>
      <c r="E23" s="50" t="s">
        <v>96</v>
      </c>
      <c r="F23" s="50" t="s">
        <v>97</v>
      </c>
      <c r="G23" s="50" t="s">
        <v>98</v>
      </c>
      <c r="H23" s="50" t="s">
        <v>99</v>
      </c>
      <c r="I23" s="50" t="s">
        <v>100</v>
      </c>
      <c r="J23" s="50" t="s">
        <v>181</v>
      </c>
    </row>
    <row r="24" spans="1:10" ht="236.25">
      <c r="A24" s="78" t="s">
        <v>251</v>
      </c>
      <c r="B24" s="48" t="s">
        <v>252</v>
      </c>
      <c r="C24" s="48" t="s">
        <v>253</v>
      </c>
      <c r="D24" s="48" t="s">
        <v>254</v>
      </c>
      <c r="E24" s="43" t="s">
        <v>477</v>
      </c>
      <c r="F24" s="45"/>
      <c r="G24" s="45" t="s">
        <v>116</v>
      </c>
      <c r="H24" s="43" t="s">
        <v>117</v>
      </c>
      <c r="I24" s="43" t="s">
        <v>124</v>
      </c>
      <c r="J24" s="45"/>
    </row>
    <row r="25" spans="1:10" s="32" customFormat="1" ht="23.1" customHeight="1">
      <c r="A25" s="50" t="s">
        <v>45</v>
      </c>
      <c r="B25" s="50" t="s">
        <v>93</v>
      </c>
      <c r="C25" s="50" t="s">
        <v>94</v>
      </c>
      <c r="D25" s="50" t="s">
        <v>95</v>
      </c>
      <c r="E25" s="50" t="s">
        <v>96</v>
      </c>
      <c r="F25" s="50" t="s">
        <v>97</v>
      </c>
      <c r="G25" s="50" t="s">
        <v>98</v>
      </c>
      <c r="H25" s="50" t="s">
        <v>99</v>
      </c>
      <c r="I25" s="50" t="s">
        <v>100</v>
      </c>
      <c r="J25" s="50" t="s">
        <v>181</v>
      </c>
    </row>
    <row r="26" spans="1:10" ht="350.25" customHeight="1">
      <c r="A26" s="78" t="s">
        <v>255</v>
      </c>
      <c r="B26" s="44" t="s">
        <v>423</v>
      </c>
      <c r="C26" s="44" t="s">
        <v>424</v>
      </c>
      <c r="D26" s="44" t="s">
        <v>425</v>
      </c>
      <c r="E26" s="43" t="s">
        <v>256</v>
      </c>
      <c r="F26" s="45"/>
      <c r="G26" s="45" t="s">
        <v>116</v>
      </c>
      <c r="H26" s="45" t="s">
        <v>108</v>
      </c>
      <c r="I26" s="45" t="s">
        <v>124</v>
      </c>
      <c r="J26" s="45"/>
    </row>
    <row r="27" spans="1:10" s="32" customFormat="1" ht="23.1" customHeight="1">
      <c r="A27" s="50" t="s">
        <v>57</v>
      </c>
      <c r="B27" s="50" t="s">
        <v>93</v>
      </c>
      <c r="C27" s="50" t="s">
        <v>94</v>
      </c>
      <c r="D27" s="50" t="s">
        <v>95</v>
      </c>
      <c r="E27" s="50" t="s">
        <v>96</v>
      </c>
      <c r="F27" s="50" t="s">
        <v>97</v>
      </c>
      <c r="G27" s="50" t="s">
        <v>98</v>
      </c>
      <c r="H27" s="50" t="s">
        <v>99</v>
      </c>
      <c r="I27" s="50" t="s">
        <v>100</v>
      </c>
      <c r="J27" s="50" t="s">
        <v>181</v>
      </c>
    </row>
    <row r="28" spans="1:10" s="8" customFormat="1" ht="127.5" customHeight="1">
      <c r="A28" s="78" t="s">
        <v>125</v>
      </c>
      <c r="B28" s="43" t="s">
        <v>257</v>
      </c>
      <c r="C28" s="43" t="s">
        <v>258</v>
      </c>
      <c r="D28" s="43" t="s">
        <v>128</v>
      </c>
      <c r="E28" s="43" t="s">
        <v>129</v>
      </c>
      <c r="F28" s="47"/>
      <c r="G28" s="43" t="s">
        <v>130</v>
      </c>
      <c r="H28" s="43" t="s">
        <v>131</v>
      </c>
      <c r="I28" s="43" t="s">
        <v>109</v>
      </c>
      <c r="J28" s="45"/>
    </row>
  </sheetData>
  <mergeCells count="2">
    <mergeCell ref="A1:J1"/>
    <mergeCell ref="B13:E13"/>
  </mergeCells>
  <conditionalFormatting sqref="B3:B4">
    <cfRule type="expression" dxfId="121" priority="81">
      <formula>#REF! = "A"</formula>
    </cfRule>
  </conditionalFormatting>
  <conditionalFormatting sqref="B6:B1048576">
    <cfRule type="expression" dxfId="120" priority="2">
      <formula>#REF! = "A"</formula>
    </cfRule>
  </conditionalFormatting>
  <conditionalFormatting sqref="C3:C4 C27">
    <cfRule type="expression" dxfId="119" priority="82">
      <formula>#REF! = "B"</formula>
    </cfRule>
  </conditionalFormatting>
  <conditionalFormatting sqref="C6:C12">
    <cfRule type="expression" dxfId="118" priority="35">
      <formula>#REF! = "B"</formula>
    </cfRule>
  </conditionalFormatting>
  <conditionalFormatting sqref="C14 C25 C29:C1048576">
    <cfRule type="expression" dxfId="117" priority="183">
      <formula>#REF! = "B"</formula>
    </cfRule>
  </conditionalFormatting>
  <conditionalFormatting sqref="C16:C18">
    <cfRule type="expression" dxfId="116" priority="16">
      <formula>#REF! = "B"</formula>
    </cfRule>
  </conditionalFormatting>
  <conditionalFormatting sqref="C20:C23">
    <cfRule type="expression" dxfId="115" priority="54">
      <formula>#REF! = "B"</formula>
    </cfRule>
  </conditionalFormatting>
  <conditionalFormatting sqref="C15:D15">
    <cfRule type="expression" dxfId="114" priority="44">
      <formula>#REF! = "A"</formula>
    </cfRule>
  </conditionalFormatting>
  <conditionalFormatting sqref="C19:D19">
    <cfRule type="expression" dxfId="113" priority="3">
      <formula>#REF! = "A"</formula>
    </cfRule>
  </conditionalFormatting>
  <conditionalFormatting sqref="C24:D24">
    <cfRule type="expression" dxfId="112" priority="26">
      <formula>#REF! = "A"</formula>
    </cfRule>
  </conditionalFormatting>
  <conditionalFormatting sqref="C26:D26">
    <cfRule type="expression" dxfId="111" priority="24">
      <formula>#REF! = "A"</formula>
    </cfRule>
  </conditionalFormatting>
  <conditionalFormatting sqref="C28:D28">
    <cfRule type="expression" dxfId="110" priority="1">
      <formula>#REF! = "A"</formula>
    </cfRule>
  </conditionalFormatting>
  <conditionalFormatting sqref="D3:D4 D27">
    <cfRule type="expression" dxfId="109" priority="83">
      <formula>#REF! = "C"</formula>
    </cfRule>
  </conditionalFormatting>
  <conditionalFormatting sqref="D6">
    <cfRule type="expression" dxfId="108" priority="42">
      <formula>#REF! = "C"</formula>
    </cfRule>
  </conditionalFormatting>
  <conditionalFormatting sqref="D7">
    <cfRule type="expression" dxfId="107" priority="33">
      <formula>#REF! = "B"</formula>
    </cfRule>
  </conditionalFormatting>
  <conditionalFormatting sqref="D8">
    <cfRule type="expression" dxfId="106" priority="50">
      <formula>#REF! = "C"</formula>
    </cfRule>
  </conditionalFormatting>
  <conditionalFormatting sqref="D9">
    <cfRule type="expression" dxfId="105" priority="46">
      <formula>#REF! = "B"</formula>
    </cfRule>
  </conditionalFormatting>
  <conditionalFormatting sqref="D10:D12 D14 D23 D25 D29:D1048576">
    <cfRule type="expression" dxfId="104" priority="184">
      <formula>#REF! = "C"</formula>
    </cfRule>
  </conditionalFormatting>
  <conditionalFormatting sqref="D16:D18">
    <cfRule type="expression" dxfId="103" priority="17">
      <formula>#REF! = "C"</formula>
    </cfRule>
  </conditionalFormatting>
  <conditionalFormatting sqref="D20:D21">
    <cfRule type="expression" dxfId="102" priority="61">
      <formula>#REF! = "C"</formula>
    </cfRule>
  </conditionalFormatting>
  <conditionalFormatting sqref="D22">
    <cfRule type="expression" dxfId="101" priority="52">
      <formula>#REF! = "B"</formula>
    </cfRule>
  </conditionalFormatting>
  <conditionalFormatting sqref="E6:E12">
    <cfRule type="expression" dxfId="100" priority="36">
      <formula>#REF! = "D"</formula>
    </cfRule>
  </conditionalFormatting>
  <conditionalFormatting sqref="E14:E19">
    <cfRule type="expression" dxfId="99" priority="22">
      <formula>#REF! = "D"</formula>
    </cfRule>
  </conditionalFormatting>
  <conditionalFormatting sqref="E27:E1048576">
    <cfRule type="expression" dxfId="98" priority="97">
      <formula>#REF! = "D"</formula>
    </cfRule>
  </conditionalFormatting>
  <conditionalFormatting sqref="E3:J5">
    <cfRule type="expression" dxfId="97" priority="78">
      <formula>#REF! = "D"</formula>
    </cfRule>
  </conditionalFormatting>
  <conditionalFormatting sqref="E20:J23">
    <cfRule type="expression" dxfId="96" priority="7">
      <formula>#REF! = "D"</formula>
    </cfRule>
  </conditionalFormatting>
  <conditionalFormatting sqref="E25:J25">
    <cfRule type="expression" dxfId="95" priority="6">
      <formula>#REF! = "D"</formula>
    </cfRule>
  </conditionalFormatting>
  <conditionalFormatting sqref="F9:G9 F11:G11 F13:G13 F15:G15 F17:G17">
    <cfRule type="expression" dxfId="94" priority="185">
      <formula>#REF! = "D"</formula>
    </cfRule>
  </conditionalFormatting>
  <conditionalFormatting sqref="F8:I8">
    <cfRule type="expression" dxfId="93" priority="14">
      <formula>#REF! = "D"</formula>
    </cfRule>
  </conditionalFormatting>
  <conditionalFormatting sqref="F10:I10">
    <cfRule type="expression" dxfId="92" priority="13">
      <formula>#REF! = "D"</formula>
    </cfRule>
  </conditionalFormatting>
  <conditionalFormatting sqref="F12:I12">
    <cfRule type="expression" dxfId="91" priority="12">
      <formula>#REF! = "D"</formula>
    </cfRule>
  </conditionalFormatting>
  <conditionalFormatting sqref="F14:I14">
    <cfRule type="expression" dxfId="90" priority="11">
      <formula>#REF! = "D"</formula>
    </cfRule>
  </conditionalFormatting>
  <conditionalFormatting sqref="F16:I16">
    <cfRule type="expression" dxfId="89" priority="10">
      <formula>#REF! = "D"</formula>
    </cfRule>
  </conditionalFormatting>
  <conditionalFormatting sqref="F18:I18">
    <cfRule type="expression" dxfId="88" priority="9">
      <formula>#REF! = "D"</formula>
    </cfRule>
  </conditionalFormatting>
  <conditionalFormatting sqref="F6:J7">
    <cfRule type="expression" dxfId="87" priority="15">
      <formula>#REF! = "D"</formula>
    </cfRule>
  </conditionalFormatting>
  <conditionalFormatting sqref="F27:J27">
    <cfRule type="expression" dxfId="86" priority="5">
      <formula>#REF! = "D"</formula>
    </cfRule>
  </conditionalFormatting>
  <conditionalFormatting sqref="G19:I19">
    <cfRule type="expression" dxfId="85" priority="19">
      <formula>#REF! = "D"</formula>
    </cfRule>
  </conditionalFormatting>
  <conditionalFormatting sqref="G28:I28">
    <cfRule type="expression" dxfId="84" priority="87">
      <formula>#REF! = "D"</formula>
    </cfRule>
  </conditionalFormatting>
  <conditionalFormatting sqref="H24:I24">
    <cfRule type="expression" dxfId="83" priority="28">
      <formula>#REF! = "D"</formula>
    </cfRule>
  </conditionalFormatting>
  <conditionalFormatting sqref="J8:J18">
    <cfRule type="expression" dxfId="82" priority="21">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5" max="16383" man="1"/>
    <brk id="24" max="16383" man="1"/>
  </rowBreaks>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C77118-6DFF-49B8-A031-32DB03BE4CB4}">
          <x14:formula1>
            <xm:f>Validierung!$B$4:$B$6</xm:f>
          </x14:formula1>
          <xm:sqref>H15 H28 H22 H26 H17 H13 H9 H11 H7 H24 H19 H5</xm:sqref>
        </x14:dataValidation>
        <x14:dataValidation type="list" allowBlank="1" showInputMessage="1" showErrorMessage="1" xr:uid="{EBC2F977-C876-4944-81C8-C6AC58DEDC98}">
          <x14:formula1>
            <xm:f>Validierung!$A$4:$A$7</xm:f>
          </x14:formula1>
          <xm:sqref>G11 G13 G15 G24 G26 G28 G9 G17 G19</xm:sqref>
        </x14:dataValidation>
        <x14:dataValidation type="list" allowBlank="1" showInputMessage="1" showErrorMessage="1" xr:uid="{D05ACEAD-779D-4303-B256-A7204FC479EB}">
          <x14:formula1>
            <xm:f>Validierung!$A$4:$A$5</xm:f>
          </x14:formula1>
          <xm:sqref>G7 G5 G22</xm:sqref>
        </x14:dataValidation>
        <x14:dataValidation type="list" allowBlank="1" showInputMessage="1" showErrorMessage="1" xr:uid="{316D45C8-0573-49B8-BEEF-53B680957F14}">
          <x14:formula1>
            <xm:f>Validierung!$E$4:$E$6</xm:f>
          </x14:formula1>
          <xm:sqref>I5 I7 I9 I11 I13 I15 I17 I19 I22 I24 I26 I28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977B-B522-4AFA-9986-3BE0A8F11FA4}">
  <sheetPr>
    <pageSetUpPr fitToPage="1"/>
  </sheetPr>
  <dimension ref="A1:J28"/>
  <sheetViews>
    <sheetView zoomScale="85" zoomScaleNormal="85" zoomScaleSheetLayoutView="85" workbookViewId="0">
      <pane ySplit="1" topLeftCell="A11" activePane="bottomLeft" state="frozen"/>
      <selection pane="bottomLeft" activeCell="B13" sqref="B13"/>
    </sheetView>
  </sheetViews>
  <sheetFormatPr baseColWidth="10" defaultColWidth="11.375" defaultRowHeight="14.25"/>
  <cols>
    <col min="1" max="1" width="32.625" style="5" customWidth="1"/>
    <col min="2" max="4" width="50.625" style="6" customWidth="1"/>
    <col min="5" max="5" width="28.625" style="6" customWidth="1"/>
    <col min="6" max="6" width="25.625" style="3" customWidth="1"/>
    <col min="7" max="10" width="18.625" style="3" customWidth="1"/>
    <col min="11" max="16384" width="11.375" style="3"/>
  </cols>
  <sheetData>
    <row r="1" spans="1:10" ht="33" customHeight="1">
      <c r="A1" s="99" t="s">
        <v>259</v>
      </c>
      <c r="B1" s="100"/>
      <c r="C1" s="100"/>
      <c r="D1" s="100"/>
      <c r="E1" s="100"/>
      <c r="F1" s="100"/>
      <c r="G1" s="100"/>
      <c r="H1" s="100"/>
      <c r="I1" s="100"/>
      <c r="J1" s="101"/>
    </row>
    <row r="2" spans="1:10" s="4" customFormat="1" ht="24.95" hidden="1" customHeight="1">
      <c r="A2" s="9"/>
      <c r="B2" s="9"/>
      <c r="C2" s="9"/>
      <c r="D2" s="9"/>
      <c r="E2" s="9"/>
      <c r="F2" s="9"/>
      <c r="G2" s="9"/>
      <c r="H2" s="9"/>
      <c r="I2" s="9"/>
      <c r="J2" s="10"/>
    </row>
    <row r="3" spans="1:10" s="51" customFormat="1" ht="23.1" customHeight="1">
      <c r="A3" s="56" t="s">
        <v>9</v>
      </c>
      <c r="B3" s="56" t="s">
        <v>260</v>
      </c>
      <c r="C3" s="56"/>
      <c r="D3" s="56"/>
      <c r="E3" s="56"/>
      <c r="F3" s="56"/>
      <c r="G3" s="56"/>
      <c r="H3" s="56"/>
      <c r="I3" s="56"/>
      <c r="J3" s="56"/>
    </row>
    <row r="4" spans="1:10" s="51" customFormat="1" ht="23.1" customHeight="1">
      <c r="A4" s="57" t="s">
        <v>22</v>
      </c>
      <c r="B4" s="57" t="s">
        <v>93</v>
      </c>
      <c r="C4" s="57" t="s">
        <v>94</v>
      </c>
      <c r="D4" s="57" t="s">
        <v>95</v>
      </c>
      <c r="E4" s="57" t="s">
        <v>96</v>
      </c>
      <c r="F4" s="57" t="s">
        <v>97</v>
      </c>
      <c r="G4" s="57" t="s">
        <v>98</v>
      </c>
      <c r="H4" s="57" t="s">
        <v>99</v>
      </c>
      <c r="I4" s="57" t="s">
        <v>100</v>
      </c>
      <c r="J4" s="57" t="s">
        <v>101</v>
      </c>
    </row>
    <row r="5" spans="1:10" ht="72.75" customHeight="1">
      <c r="A5" s="78" t="s">
        <v>261</v>
      </c>
      <c r="B5" s="44" t="s">
        <v>262</v>
      </c>
      <c r="C5" s="43" t="s">
        <v>263</v>
      </c>
      <c r="D5" s="43" t="s">
        <v>264</v>
      </c>
      <c r="E5" s="43" t="s">
        <v>458</v>
      </c>
      <c r="F5" s="44" t="s">
        <v>265</v>
      </c>
      <c r="G5" s="43" t="s">
        <v>130</v>
      </c>
      <c r="H5" s="43" t="s">
        <v>117</v>
      </c>
      <c r="I5" s="43" t="s">
        <v>109</v>
      </c>
      <c r="J5" s="43" t="s">
        <v>23</v>
      </c>
    </row>
    <row r="6" spans="1:10" s="51" customFormat="1" ht="23.1" customHeight="1">
      <c r="A6" s="57" t="s">
        <v>34</v>
      </c>
      <c r="B6" s="57" t="s">
        <v>93</v>
      </c>
      <c r="C6" s="57" t="s">
        <v>94</v>
      </c>
      <c r="D6" s="57" t="s">
        <v>95</v>
      </c>
      <c r="E6" s="57" t="s">
        <v>96</v>
      </c>
      <c r="F6" s="57" t="s">
        <v>97</v>
      </c>
      <c r="G6" s="57" t="s">
        <v>98</v>
      </c>
      <c r="H6" s="57" t="s">
        <v>99</v>
      </c>
      <c r="I6" s="57" t="s">
        <v>100</v>
      </c>
      <c r="J6" s="57" t="s">
        <v>101</v>
      </c>
    </row>
    <row r="7" spans="1:10" ht="187.5" customHeight="1">
      <c r="A7" s="78" t="s">
        <v>266</v>
      </c>
      <c r="B7" s="43" t="s">
        <v>267</v>
      </c>
      <c r="C7" s="44" t="s">
        <v>268</v>
      </c>
      <c r="D7" s="44" t="s">
        <v>269</v>
      </c>
      <c r="E7" s="43" t="s">
        <v>137</v>
      </c>
      <c r="F7" s="52"/>
      <c r="G7" s="43" t="s">
        <v>130</v>
      </c>
      <c r="H7" s="43" t="s">
        <v>117</v>
      </c>
      <c r="I7" s="43" t="s">
        <v>109</v>
      </c>
      <c r="J7" s="43" t="s">
        <v>20</v>
      </c>
    </row>
    <row r="8" spans="1:10" s="51" customFormat="1" ht="23.1" customHeight="1">
      <c r="A8" s="57" t="s">
        <v>46</v>
      </c>
      <c r="B8" s="57" t="s">
        <v>93</v>
      </c>
      <c r="C8" s="57" t="s">
        <v>94</v>
      </c>
      <c r="D8" s="57" t="s">
        <v>95</v>
      </c>
      <c r="E8" s="57" t="s">
        <v>96</v>
      </c>
      <c r="F8" s="57" t="s">
        <v>97</v>
      </c>
      <c r="G8" s="57" t="s">
        <v>98</v>
      </c>
      <c r="H8" s="57" t="s">
        <v>99</v>
      </c>
      <c r="I8" s="57" t="s">
        <v>100</v>
      </c>
      <c r="J8" s="57" t="s">
        <v>101</v>
      </c>
    </row>
    <row r="9" spans="1:10" ht="114.75" customHeight="1">
      <c r="A9" s="78" t="s">
        <v>438</v>
      </c>
      <c r="B9" s="102" t="s">
        <v>74</v>
      </c>
      <c r="C9" s="102"/>
      <c r="D9" s="102"/>
      <c r="E9" s="102"/>
      <c r="F9" s="52"/>
      <c r="G9" s="43" t="s">
        <v>130</v>
      </c>
      <c r="H9" s="43" t="s">
        <v>108</v>
      </c>
      <c r="I9" s="43" t="s">
        <v>124</v>
      </c>
      <c r="J9" s="43" t="s">
        <v>270</v>
      </c>
    </row>
    <row r="10" spans="1:10" s="51" customFormat="1" ht="23.1" customHeight="1">
      <c r="A10" s="57" t="s">
        <v>58</v>
      </c>
      <c r="B10" s="57" t="s">
        <v>93</v>
      </c>
      <c r="C10" s="57" t="s">
        <v>94</v>
      </c>
      <c r="D10" s="57" t="s">
        <v>95</v>
      </c>
      <c r="E10" s="57" t="s">
        <v>96</v>
      </c>
      <c r="F10" s="57" t="s">
        <v>97</v>
      </c>
      <c r="G10" s="57" t="s">
        <v>98</v>
      </c>
      <c r="H10" s="57" t="s">
        <v>99</v>
      </c>
      <c r="I10" s="57" t="s">
        <v>100</v>
      </c>
      <c r="J10" s="57" t="s">
        <v>101</v>
      </c>
    </row>
    <row r="11" spans="1:10" ht="168.75">
      <c r="A11" s="78" t="s">
        <v>271</v>
      </c>
      <c r="B11" s="43" t="s">
        <v>272</v>
      </c>
      <c r="C11" s="43" t="s">
        <v>273</v>
      </c>
      <c r="D11" s="43" t="s">
        <v>274</v>
      </c>
      <c r="E11" s="43" t="s">
        <v>275</v>
      </c>
      <c r="F11" s="52" t="s">
        <v>276</v>
      </c>
      <c r="G11" s="43" t="s">
        <v>130</v>
      </c>
      <c r="H11" s="43" t="s">
        <v>108</v>
      </c>
      <c r="I11" s="43" t="s">
        <v>124</v>
      </c>
      <c r="J11" s="43" t="s">
        <v>74</v>
      </c>
    </row>
    <row r="12" spans="1:10" s="51" customFormat="1" ht="23.1" customHeight="1">
      <c r="A12" s="57" t="s">
        <v>69</v>
      </c>
      <c r="B12" s="57"/>
      <c r="C12" s="57" t="s">
        <v>94</v>
      </c>
      <c r="D12" s="57" t="s">
        <v>95</v>
      </c>
      <c r="E12" s="57" t="s">
        <v>96</v>
      </c>
      <c r="F12" s="57" t="s">
        <v>97</v>
      </c>
      <c r="G12" s="57" t="s">
        <v>98</v>
      </c>
      <c r="H12" s="57" t="s">
        <v>99</v>
      </c>
      <c r="I12" s="57" t="s">
        <v>100</v>
      </c>
      <c r="J12" s="57" t="s">
        <v>101</v>
      </c>
    </row>
    <row r="13" spans="1:10" ht="309" customHeight="1">
      <c r="A13" s="78" t="s">
        <v>434</v>
      </c>
      <c r="B13" s="43" t="s">
        <v>439</v>
      </c>
      <c r="C13" s="44" t="s">
        <v>277</v>
      </c>
      <c r="D13" s="44" t="s">
        <v>278</v>
      </c>
      <c r="E13" s="43" t="s">
        <v>426</v>
      </c>
      <c r="F13" s="52" t="s">
        <v>279</v>
      </c>
      <c r="G13" s="43" t="s">
        <v>130</v>
      </c>
      <c r="H13" s="43" t="s">
        <v>108</v>
      </c>
      <c r="I13" s="43" t="s">
        <v>124</v>
      </c>
      <c r="J13" s="43" t="s">
        <v>280</v>
      </c>
    </row>
    <row r="14" spans="1:10" s="51" customFormat="1" ht="23.1" customHeight="1">
      <c r="A14" s="57" t="s">
        <v>78</v>
      </c>
      <c r="B14" s="57" t="s">
        <v>93</v>
      </c>
      <c r="C14" s="57" t="s">
        <v>94</v>
      </c>
      <c r="D14" s="57" t="s">
        <v>95</v>
      </c>
      <c r="E14" s="57" t="s">
        <v>96</v>
      </c>
      <c r="F14" s="57" t="s">
        <v>97</v>
      </c>
      <c r="G14" s="57" t="s">
        <v>98</v>
      </c>
      <c r="H14" s="57" t="s">
        <v>99</v>
      </c>
      <c r="I14" s="57" t="s">
        <v>100</v>
      </c>
      <c r="J14" s="57" t="s">
        <v>101</v>
      </c>
    </row>
    <row r="15" spans="1:10" ht="170.25" customHeight="1">
      <c r="A15" s="78" t="s">
        <v>433</v>
      </c>
      <c r="B15" s="44" t="s">
        <v>435</v>
      </c>
      <c r="C15" s="43" t="s">
        <v>281</v>
      </c>
      <c r="D15" s="43" t="s">
        <v>436</v>
      </c>
      <c r="E15" s="43" t="s">
        <v>282</v>
      </c>
      <c r="F15" s="52" t="s">
        <v>283</v>
      </c>
      <c r="G15" s="43" t="s">
        <v>130</v>
      </c>
      <c r="H15" s="43" t="s">
        <v>108</v>
      </c>
      <c r="I15" s="43" t="s">
        <v>109</v>
      </c>
      <c r="J15" s="43" t="s">
        <v>284</v>
      </c>
    </row>
    <row r="16" spans="1:10" s="51" customFormat="1" ht="23.1" customHeight="1">
      <c r="A16" s="57" t="s">
        <v>85</v>
      </c>
      <c r="B16" s="57" t="s">
        <v>93</v>
      </c>
      <c r="C16" s="57" t="s">
        <v>94</v>
      </c>
      <c r="D16" s="57" t="s">
        <v>95</v>
      </c>
      <c r="E16" s="57" t="s">
        <v>96</v>
      </c>
      <c r="F16" s="57" t="s">
        <v>97</v>
      </c>
      <c r="G16" s="57" t="s">
        <v>98</v>
      </c>
      <c r="H16" s="57" t="s">
        <v>99</v>
      </c>
      <c r="I16" s="57" t="s">
        <v>100</v>
      </c>
      <c r="J16" s="57" t="s">
        <v>101</v>
      </c>
    </row>
    <row r="17" spans="1:10" ht="131.25" customHeight="1">
      <c r="A17" s="78" t="s">
        <v>285</v>
      </c>
      <c r="B17" s="43" t="s">
        <v>257</v>
      </c>
      <c r="C17" s="43" t="s">
        <v>286</v>
      </c>
      <c r="D17" s="43" t="s">
        <v>128</v>
      </c>
      <c r="E17" s="43" t="s">
        <v>129</v>
      </c>
      <c r="F17" s="53"/>
      <c r="G17" s="43" t="s">
        <v>130</v>
      </c>
      <c r="H17" s="43" t="s">
        <v>131</v>
      </c>
      <c r="I17" s="43" t="s">
        <v>109</v>
      </c>
      <c r="J17" s="45"/>
    </row>
    <row r="18" spans="1:10" s="26" customFormat="1" ht="24.95" customHeight="1">
      <c r="A18" s="56" t="s">
        <v>10</v>
      </c>
      <c r="B18" s="56" t="s">
        <v>287</v>
      </c>
      <c r="C18" s="56"/>
      <c r="D18" s="56"/>
      <c r="E18" s="56"/>
      <c r="F18" s="56"/>
      <c r="G18" s="56"/>
      <c r="H18" s="56"/>
      <c r="I18" s="56"/>
      <c r="J18" s="56"/>
    </row>
    <row r="19" spans="1:10" s="51" customFormat="1" ht="21.75" customHeight="1">
      <c r="A19" s="57" t="s">
        <v>23</v>
      </c>
      <c r="B19" s="57" t="s">
        <v>93</v>
      </c>
      <c r="C19" s="57" t="s">
        <v>94</v>
      </c>
      <c r="D19" s="57" t="s">
        <v>95</v>
      </c>
      <c r="E19" s="57" t="s">
        <v>96</v>
      </c>
      <c r="F19" s="57" t="s">
        <v>97</v>
      </c>
      <c r="G19" s="57" t="s">
        <v>98</v>
      </c>
      <c r="H19" s="57" t="s">
        <v>99</v>
      </c>
      <c r="I19" s="57" t="s">
        <v>100</v>
      </c>
      <c r="J19" s="57" t="s">
        <v>101</v>
      </c>
    </row>
    <row r="20" spans="1:10" ht="30" customHeight="1">
      <c r="A20" s="78" t="s">
        <v>288</v>
      </c>
      <c r="B20" s="95" t="s">
        <v>427</v>
      </c>
      <c r="C20" s="95"/>
      <c r="D20" s="95"/>
      <c r="E20" s="95"/>
      <c r="F20" s="54"/>
      <c r="G20" s="45" t="s">
        <v>130</v>
      </c>
      <c r="H20" s="43" t="s">
        <v>117</v>
      </c>
      <c r="I20" s="43" t="s">
        <v>109</v>
      </c>
      <c r="J20" s="45" t="s">
        <v>22</v>
      </c>
    </row>
    <row r="21" spans="1:10" s="51" customFormat="1" ht="23.1" customHeight="1">
      <c r="A21" s="57" t="s">
        <v>35</v>
      </c>
      <c r="B21" s="57" t="s">
        <v>93</v>
      </c>
      <c r="C21" s="57" t="s">
        <v>94</v>
      </c>
      <c r="D21" s="57" t="s">
        <v>95</v>
      </c>
      <c r="E21" s="57" t="s">
        <v>96</v>
      </c>
      <c r="F21" s="57" t="s">
        <v>97</v>
      </c>
      <c r="G21" s="57" t="s">
        <v>98</v>
      </c>
      <c r="H21" s="57" t="s">
        <v>99</v>
      </c>
      <c r="I21" s="57" t="s">
        <v>100</v>
      </c>
      <c r="J21" s="57" t="s">
        <v>101</v>
      </c>
    </row>
    <row r="22" spans="1:10" ht="243.75" customHeight="1">
      <c r="A22" s="78" t="s">
        <v>289</v>
      </c>
      <c r="B22" s="43" t="s">
        <v>290</v>
      </c>
      <c r="C22" s="44" t="s">
        <v>291</v>
      </c>
      <c r="D22" s="44" t="s">
        <v>292</v>
      </c>
      <c r="E22" s="43" t="s">
        <v>137</v>
      </c>
      <c r="F22" s="53"/>
      <c r="G22" s="45" t="s">
        <v>130</v>
      </c>
      <c r="H22" s="43" t="s">
        <v>117</v>
      </c>
      <c r="I22" s="43" t="s">
        <v>109</v>
      </c>
      <c r="J22" s="45" t="s">
        <v>20</v>
      </c>
    </row>
    <row r="23" spans="1:10" s="51" customFormat="1" ht="23.1" customHeight="1">
      <c r="A23" s="57" t="s">
        <v>47</v>
      </c>
      <c r="B23" s="57" t="s">
        <v>93</v>
      </c>
      <c r="C23" s="57" t="s">
        <v>94</v>
      </c>
      <c r="D23" s="57" t="s">
        <v>95</v>
      </c>
      <c r="E23" s="57" t="s">
        <v>96</v>
      </c>
      <c r="F23" s="57" t="s">
        <v>97</v>
      </c>
      <c r="G23" s="57" t="s">
        <v>98</v>
      </c>
      <c r="H23" s="57" t="s">
        <v>99</v>
      </c>
      <c r="I23" s="57" t="s">
        <v>100</v>
      </c>
      <c r="J23" s="57" t="s">
        <v>101</v>
      </c>
    </row>
    <row r="24" spans="1:10" ht="381.75" customHeight="1">
      <c r="A24" s="78" t="s">
        <v>293</v>
      </c>
      <c r="B24" s="43" t="s">
        <v>459</v>
      </c>
      <c r="C24" s="55" t="s">
        <v>460</v>
      </c>
      <c r="D24" s="52" t="s">
        <v>461</v>
      </c>
      <c r="E24" s="43" t="s">
        <v>294</v>
      </c>
      <c r="F24" s="52"/>
      <c r="G24" s="43" t="s">
        <v>130</v>
      </c>
      <c r="H24" s="43" t="s">
        <v>108</v>
      </c>
      <c r="I24" s="43" t="s">
        <v>109</v>
      </c>
      <c r="J24" s="43" t="s">
        <v>295</v>
      </c>
    </row>
    <row r="25" spans="1:10" s="51" customFormat="1" ht="23.1" customHeight="1">
      <c r="A25" s="57" t="s">
        <v>59</v>
      </c>
      <c r="B25" s="57" t="s">
        <v>93</v>
      </c>
      <c r="C25" s="57" t="s">
        <v>94</v>
      </c>
      <c r="D25" s="57" t="s">
        <v>95</v>
      </c>
      <c r="E25" s="57" t="s">
        <v>96</v>
      </c>
      <c r="F25" s="57" t="s">
        <v>97</v>
      </c>
      <c r="G25" s="57" t="s">
        <v>98</v>
      </c>
      <c r="H25" s="57" t="s">
        <v>99</v>
      </c>
      <c r="I25" s="57" t="s">
        <v>100</v>
      </c>
      <c r="J25" s="57" t="s">
        <v>101</v>
      </c>
    </row>
    <row r="26" spans="1:10" ht="409.5" customHeight="1">
      <c r="A26" s="78" t="s">
        <v>296</v>
      </c>
      <c r="B26" s="44" t="s">
        <v>297</v>
      </c>
      <c r="C26" s="52" t="s">
        <v>298</v>
      </c>
      <c r="D26" s="43" t="s">
        <v>299</v>
      </c>
      <c r="E26" s="43" t="s">
        <v>300</v>
      </c>
      <c r="F26" s="52"/>
      <c r="G26" s="43" t="s">
        <v>130</v>
      </c>
      <c r="H26" s="43" t="s">
        <v>108</v>
      </c>
      <c r="I26" s="43" t="s">
        <v>124</v>
      </c>
      <c r="J26" s="45" t="s">
        <v>69</v>
      </c>
    </row>
    <row r="27" spans="1:10" s="51" customFormat="1" ht="23.1" customHeight="1">
      <c r="A27" s="57" t="s">
        <v>70</v>
      </c>
      <c r="B27" s="57" t="s">
        <v>93</v>
      </c>
      <c r="C27" s="57" t="s">
        <v>94</v>
      </c>
      <c r="D27" s="57" t="s">
        <v>95</v>
      </c>
      <c r="E27" s="57" t="s">
        <v>96</v>
      </c>
      <c r="F27" s="57" t="s">
        <v>97</v>
      </c>
      <c r="G27" s="57" t="s">
        <v>98</v>
      </c>
      <c r="H27" s="57" t="s">
        <v>99</v>
      </c>
      <c r="I27" s="57"/>
      <c r="J27" s="57" t="s">
        <v>101</v>
      </c>
    </row>
    <row r="28" spans="1:10" s="8" customFormat="1" ht="157.5">
      <c r="A28" s="78" t="s">
        <v>285</v>
      </c>
      <c r="B28" s="43" t="s">
        <v>301</v>
      </c>
      <c r="C28" s="43" t="s">
        <v>302</v>
      </c>
      <c r="D28" s="43" t="s">
        <v>128</v>
      </c>
      <c r="E28" s="43" t="s">
        <v>129</v>
      </c>
      <c r="F28" s="53"/>
      <c r="G28" s="43" t="s">
        <v>130</v>
      </c>
      <c r="H28" s="43" t="s">
        <v>131</v>
      </c>
      <c r="I28" s="43" t="s">
        <v>109</v>
      </c>
      <c r="J28" s="45"/>
    </row>
  </sheetData>
  <mergeCells count="3">
    <mergeCell ref="A1:J1"/>
    <mergeCell ref="B20:E20"/>
    <mergeCell ref="B9:E9"/>
  </mergeCells>
  <conditionalFormatting sqref="B3:B8 B10:B12 B14:B23 B25:B1048576">
    <cfRule type="expression" dxfId="81" priority="118">
      <formula>#REF! = "A"</formula>
    </cfRule>
  </conditionalFormatting>
  <conditionalFormatting sqref="B13:D13">
    <cfRule type="expression" dxfId="80" priority="17">
      <formula>#REF! = "A"</formula>
    </cfRule>
  </conditionalFormatting>
  <conditionalFormatting sqref="C3:C8 C10:C12 C14 C18:C19 C21:C23 C25:C27 C29:C1048576">
    <cfRule type="expression" dxfId="79" priority="119">
      <formula>#REF! = "B"</formula>
    </cfRule>
  </conditionalFormatting>
  <conditionalFormatting sqref="C16">
    <cfRule type="expression" dxfId="78" priority="11">
      <formula>#REF! = "B"</formula>
    </cfRule>
  </conditionalFormatting>
  <conditionalFormatting sqref="C15:D15">
    <cfRule type="expression" dxfId="77" priority="15">
      <formula>#REF! = "A"</formula>
    </cfRule>
  </conditionalFormatting>
  <conditionalFormatting sqref="C17:D17">
    <cfRule type="expression" dxfId="76" priority="9">
      <formula>#REF! = "A"</formula>
    </cfRule>
  </conditionalFormatting>
  <conditionalFormatting sqref="C28:D28">
    <cfRule type="expression" dxfId="75" priority="62">
      <formula>#REF! = "A"</formula>
    </cfRule>
  </conditionalFormatting>
  <conditionalFormatting sqref="D3:D4 D6 D8 D10:D12 D14 D18:D19 D21 D23 D25:D27 D29:D1048576">
    <cfRule type="expression" dxfId="74" priority="120">
      <formula>#REF! = "C"</formula>
    </cfRule>
  </conditionalFormatting>
  <conditionalFormatting sqref="D5">
    <cfRule type="expression" dxfId="73" priority="32">
      <formula>#REF! = "B"</formula>
    </cfRule>
  </conditionalFormatting>
  <conditionalFormatting sqref="D7">
    <cfRule type="expression" dxfId="72" priority="59">
      <formula>#REF! = "B"</formula>
    </cfRule>
  </conditionalFormatting>
  <conditionalFormatting sqref="D16">
    <cfRule type="expression" dxfId="71" priority="12">
      <formula>#REF! = "C"</formula>
    </cfRule>
  </conditionalFormatting>
  <conditionalFormatting sqref="D22">
    <cfRule type="expression" dxfId="70" priority="29">
      <formula>#REF! = "B"</formula>
    </cfRule>
  </conditionalFormatting>
  <conditionalFormatting sqref="E3:E8 B9 E10:E19 E21:E23 D26 E27:E1048576">
    <cfRule type="expression" dxfId="69" priority="121">
      <formula>#REF! = "D"</formula>
    </cfRule>
  </conditionalFormatting>
  <conditionalFormatting sqref="E25:J25">
    <cfRule type="expression" dxfId="68" priority="1">
      <formula>#REF! = "D"</formula>
    </cfRule>
  </conditionalFormatting>
  <conditionalFormatting sqref="F19:F21">
    <cfRule type="expression" dxfId="67" priority="37">
      <formula>#REF! = "D"</formula>
    </cfRule>
  </conditionalFormatting>
  <conditionalFormatting sqref="F27">
    <cfRule type="expression" dxfId="66" priority="66">
      <formula>#REF! = "D"</formula>
    </cfRule>
  </conditionalFormatting>
  <conditionalFormatting sqref="F3:J16">
    <cfRule type="expression" dxfId="65" priority="5">
      <formula>#REF! = "D"</formula>
    </cfRule>
  </conditionalFormatting>
  <conditionalFormatting sqref="F18:J18">
    <cfRule type="expression" dxfId="64" priority="24">
      <formula>#REF! = "D"</formula>
    </cfRule>
  </conditionalFormatting>
  <conditionalFormatting sqref="F23:J24">
    <cfRule type="expression" dxfId="63" priority="2">
      <formula>#REF! = "D"</formula>
    </cfRule>
  </conditionalFormatting>
  <conditionalFormatting sqref="G17:I17">
    <cfRule type="expression" dxfId="62" priority="8">
      <formula>#REF! = "D"</formula>
    </cfRule>
  </conditionalFormatting>
  <conditionalFormatting sqref="G26:I28">
    <cfRule type="expression" dxfId="61" priority="14">
      <formula>#REF! = "D"</formula>
    </cfRule>
  </conditionalFormatting>
  <conditionalFormatting sqref="G19:J19">
    <cfRule type="expression" dxfId="60" priority="4">
      <formula>#REF! = "D"</formula>
    </cfRule>
  </conditionalFormatting>
  <conditionalFormatting sqref="G21:J21">
    <cfRule type="expression" dxfId="59" priority="3">
      <formula>#REF! = "D"</formula>
    </cfRule>
  </conditionalFormatting>
  <conditionalFormatting sqref="H20:I20 H22:I22">
    <cfRule type="expression" dxfId="58" priority="34">
      <formula>#REF! = "D"</formula>
    </cfRule>
  </conditionalFormatting>
  <conditionalFormatting sqref="J27">
    <cfRule type="expression" dxfId="57" priority="18">
      <formula>#REF! = "D"</formula>
    </cfRule>
  </conditionalFormatting>
  <pageMargins left="0.27559055118110237" right="0.27559055118110237" top="0.39370078740157483" bottom="0.39370078740157483" header="0.27559055118110237" footer="0.27559055118110237"/>
  <pageSetup paperSize="8" scale="59" fitToHeight="0" orientation="landscape" horizontalDpi="300" verticalDpi="300" r:id="rId1"/>
  <rowBreaks count="2" manualBreakCount="2">
    <brk id="17" max="9" man="1"/>
    <brk id="26"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B9A6DCD-3884-4415-B87C-B7A9F856B8F0}">
          <x14:formula1>
            <xm:f>Validierung!$B$4:$B$6</xm:f>
          </x14:formula1>
          <xm:sqref>H7 H24 H26 H28 H20 H9 H11 H13 H15 H22 H17 H5</xm:sqref>
        </x14:dataValidation>
        <x14:dataValidation type="list" allowBlank="1" showInputMessage="1" showErrorMessage="1" xr:uid="{43CA7859-0586-4B2C-8B0F-B7F8E9384726}">
          <x14:formula1>
            <xm:f>Validierung!$A$4:$A$7</xm:f>
          </x14:formula1>
          <xm:sqref>G5 G24 G22 G26 G28 G7 G9 G11 G13 G20 G15 G17</xm:sqref>
        </x14:dataValidation>
        <x14:dataValidation type="list" allowBlank="1" showInputMessage="1" showErrorMessage="1" xr:uid="{01940461-EF0D-4661-B161-FB666161B908}">
          <x14:formula1>
            <xm:f>Validierung!$E$4:$E$6</xm:f>
          </x14:formula1>
          <xm:sqref>I5 I7 I9 I11 I13 I15 I17 I20 I22 I24 I26 I28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6A-8556-43D9-ACD9-D8B289DD9B4B}">
  <sheetPr>
    <pageSetUpPr fitToPage="1"/>
  </sheetPr>
  <dimension ref="A1:J24"/>
  <sheetViews>
    <sheetView tabSelected="1" zoomScale="115" zoomScaleNormal="115" workbookViewId="0">
      <pane ySplit="1" topLeftCell="A19" activePane="bottomLeft" state="frozen"/>
      <selection pane="bottomLeft" activeCell="B20" sqref="B20"/>
    </sheetView>
  </sheetViews>
  <sheetFormatPr baseColWidth="10" defaultColWidth="11.375" defaultRowHeight="14.45" customHeight="1"/>
  <cols>
    <col min="1" max="1" width="20.125" style="61" customWidth="1"/>
    <col min="2" max="4" width="50.625" style="58" customWidth="1"/>
    <col min="5" max="5" width="17" style="58" customWidth="1"/>
    <col min="6" max="6" width="25.625" style="58" customWidth="1"/>
    <col min="7" max="10" width="18.625" style="58" customWidth="1"/>
    <col min="11" max="16384" width="11.375" style="58"/>
  </cols>
  <sheetData>
    <row r="1" spans="1:10" ht="33" customHeight="1">
      <c r="A1" s="99" t="s">
        <v>303</v>
      </c>
      <c r="B1" s="100"/>
      <c r="C1" s="100"/>
      <c r="D1" s="100"/>
      <c r="E1" s="100"/>
      <c r="F1" s="100"/>
      <c r="G1" s="100"/>
      <c r="H1" s="100"/>
      <c r="I1" s="100"/>
      <c r="J1" s="101"/>
    </row>
    <row r="2" spans="1:10" ht="24.95" hidden="1" customHeight="1">
      <c r="A2" s="59"/>
      <c r="B2" s="59"/>
      <c r="C2" s="59"/>
      <c r="D2" s="59"/>
      <c r="E2" s="59"/>
      <c r="F2" s="59"/>
      <c r="G2" s="59"/>
      <c r="H2" s="59"/>
      <c r="I2" s="59"/>
      <c r="J2" s="59"/>
    </row>
    <row r="3" spans="1:10" s="62" customFormat="1" ht="23.1" customHeight="1">
      <c r="A3" s="18" t="s">
        <v>13</v>
      </c>
      <c r="B3" s="18" t="s">
        <v>304</v>
      </c>
      <c r="C3" s="18"/>
      <c r="D3" s="18"/>
      <c r="E3" s="18"/>
      <c r="F3" s="18"/>
      <c r="G3" s="18"/>
      <c r="H3" s="18"/>
      <c r="I3" s="18"/>
      <c r="J3" s="18"/>
    </row>
    <row r="4" spans="1:10" s="62" customFormat="1" ht="23.1" customHeight="1">
      <c r="A4" s="19" t="s">
        <v>26</v>
      </c>
      <c r="B4" s="19" t="s">
        <v>93</v>
      </c>
      <c r="C4" s="19" t="s">
        <v>94</v>
      </c>
      <c r="D4" s="19" t="s">
        <v>95</v>
      </c>
      <c r="E4" s="19" t="s">
        <v>96</v>
      </c>
      <c r="F4" s="19" t="s">
        <v>97</v>
      </c>
      <c r="G4" s="19" t="s">
        <v>98</v>
      </c>
      <c r="H4" s="19" t="s">
        <v>99</v>
      </c>
      <c r="I4" s="19" t="s">
        <v>100</v>
      </c>
      <c r="J4" s="19" t="s">
        <v>101</v>
      </c>
    </row>
    <row r="5" spans="1:10" ht="330.6" customHeight="1">
      <c r="A5" s="78" t="s">
        <v>440</v>
      </c>
      <c r="B5" s="44" t="s">
        <v>305</v>
      </c>
      <c r="C5" s="44" t="s">
        <v>306</v>
      </c>
      <c r="D5" s="48" t="s">
        <v>307</v>
      </c>
      <c r="E5" s="43" t="s">
        <v>308</v>
      </c>
      <c r="F5" s="43" t="s">
        <v>309</v>
      </c>
      <c r="G5" s="43" t="s">
        <v>130</v>
      </c>
      <c r="H5" s="43" t="s">
        <v>117</v>
      </c>
      <c r="I5" s="43" t="s">
        <v>109</v>
      </c>
      <c r="J5" s="43" t="s">
        <v>310</v>
      </c>
    </row>
    <row r="6" spans="1:10" s="62" customFormat="1" ht="23.1" customHeight="1">
      <c r="A6" s="19" t="s">
        <v>38</v>
      </c>
      <c r="B6" s="19" t="s">
        <v>93</v>
      </c>
      <c r="C6" s="19" t="s">
        <v>94</v>
      </c>
      <c r="D6" s="19" t="s">
        <v>95</v>
      </c>
      <c r="E6" s="19" t="s">
        <v>96</v>
      </c>
      <c r="F6" s="19" t="s">
        <v>97</v>
      </c>
      <c r="G6" s="19" t="s">
        <v>98</v>
      </c>
      <c r="H6" s="19" t="s">
        <v>99</v>
      </c>
      <c r="I6" s="19" t="s">
        <v>100</v>
      </c>
      <c r="J6" s="19" t="s">
        <v>101</v>
      </c>
    </row>
    <row r="7" spans="1:10" ht="409.5">
      <c r="A7" s="78" t="s">
        <v>441</v>
      </c>
      <c r="B7" s="43" t="s">
        <v>311</v>
      </c>
      <c r="C7" s="44" t="s">
        <v>312</v>
      </c>
      <c r="D7" s="43" t="s">
        <v>313</v>
      </c>
      <c r="E7" s="43" t="s">
        <v>314</v>
      </c>
      <c r="F7" s="43" t="s">
        <v>315</v>
      </c>
      <c r="G7" s="43" t="s">
        <v>116</v>
      </c>
      <c r="H7" s="43" t="s">
        <v>108</v>
      </c>
      <c r="I7" s="43" t="s">
        <v>124</v>
      </c>
      <c r="J7" s="43" t="s">
        <v>316</v>
      </c>
    </row>
    <row r="8" spans="1:10" s="62" customFormat="1" ht="23.1" customHeight="1">
      <c r="A8" s="19" t="s">
        <v>50</v>
      </c>
      <c r="B8" s="19" t="s">
        <v>93</v>
      </c>
      <c r="C8" s="19" t="s">
        <v>94</v>
      </c>
      <c r="D8" s="19" t="s">
        <v>95</v>
      </c>
      <c r="E8" s="19" t="s">
        <v>96</v>
      </c>
      <c r="F8" s="19" t="s">
        <v>97</v>
      </c>
      <c r="G8" s="19" t="s">
        <v>98</v>
      </c>
      <c r="H8" s="19" t="s">
        <v>99</v>
      </c>
      <c r="I8" s="19" t="s">
        <v>100</v>
      </c>
      <c r="J8" s="19" t="s">
        <v>101</v>
      </c>
    </row>
    <row r="9" spans="1:10" ht="231" customHeight="1">
      <c r="A9" s="78" t="s">
        <v>442</v>
      </c>
      <c r="B9" s="29" t="s">
        <v>317</v>
      </c>
      <c r="C9" s="43" t="s">
        <v>318</v>
      </c>
      <c r="D9" s="43" t="s">
        <v>319</v>
      </c>
      <c r="E9" s="43" t="s">
        <v>320</v>
      </c>
      <c r="F9" s="43"/>
      <c r="G9" s="43" t="s">
        <v>116</v>
      </c>
      <c r="H9" s="43" t="s">
        <v>108</v>
      </c>
      <c r="I9" s="43" t="s">
        <v>124</v>
      </c>
      <c r="J9" s="43"/>
    </row>
    <row r="10" spans="1:10" s="62" customFormat="1" ht="23.1" customHeight="1">
      <c r="A10" s="19" t="s">
        <v>62</v>
      </c>
      <c r="B10" s="19" t="s">
        <v>93</v>
      </c>
      <c r="C10" s="19" t="s">
        <v>94</v>
      </c>
      <c r="D10" s="19" t="s">
        <v>95</v>
      </c>
      <c r="E10" s="19" t="s">
        <v>96</v>
      </c>
      <c r="F10" s="19" t="s">
        <v>97</v>
      </c>
      <c r="G10" s="19" t="s">
        <v>98</v>
      </c>
      <c r="H10" s="19" t="s">
        <v>99</v>
      </c>
      <c r="I10" s="19" t="s">
        <v>100</v>
      </c>
      <c r="J10" s="19" t="s">
        <v>101</v>
      </c>
    </row>
    <row r="11" spans="1:10" ht="281.25" customHeight="1">
      <c r="A11" s="78" t="s">
        <v>443</v>
      </c>
      <c r="B11" s="27" t="s">
        <v>321</v>
      </c>
      <c r="C11" s="44" t="s">
        <v>322</v>
      </c>
      <c r="D11" s="44" t="s">
        <v>323</v>
      </c>
      <c r="E11" s="43" t="s">
        <v>324</v>
      </c>
      <c r="F11" s="43"/>
      <c r="G11" s="43" t="s">
        <v>130</v>
      </c>
      <c r="H11" s="43" t="s">
        <v>108</v>
      </c>
      <c r="I11" s="43" t="s">
        <v>124</v>
      </c>
      <c r="J11" s="43" t="s">
        <v>325</v>
      </c>
    </row>
    <row r="12" spans="1:10" s="62" customFormat="1" ht="23.1" customHeight="1">
      <c r="A12" s="19" t="s">
        <v>73</v>
      </c>
      <c r="B12" s="19" t="s">
        <v>93</v>
      </c>
      <c r="C12" s="19" t="s">
        <v>94</v>
      </c>
      <c r="D12" s="19" t="s">
        <v>95</v>
      </c>
      <c r="E12" s="19" t="s">
        <v>96</v>
      </c>
      <c r="F12" s="19" t="s">
        <v>97</v>
      </c>
      <c r="G12" s="19" t="s">
        <v>98</v>
      </c>
      <c r="H12" s="19" t="s">
        <v>99</v>
      </c>
      <c r="I12" s="19" t="s">
        <v>100</v>
      </c>
      <c r="J12" s="19" t="s">
        <v>101</v>
      </c>
    </row>
    <row r="13" spans="1:10" ht="405" customHeight="1">
      <c r="A13" s="78" t="s">
        <v>444</v>
      </c>
      <c r="B13" s="44" t="s">
        <v>326</v>
      </c>
      <c r="C13" s="44" t="s">
        <v>327</v>
      </c>
      <c r="D13" s="44" t="s">
        <v>328</v>
      </c>
      <c r="E13" s="52" t="s">
        <v>329</v>
      </c>
      <c r="F13" s="52"/>
      <c r="G13" s="52" t="s">
        <v>107</v>
      </c>
      <c r="H13" s="52" t="s">
        <v>108</v>
      </c>
      <c r="I13" s="52" t="s">
        <v>109</v>
      </c>
      <c r="J13" s="52" t="s">
        <v>330</v>
      </c>
    </row>
    <row r="14" spans="1:10" s="62" customFormat="1" ht="23.1" customHeight="1">
      <c r="A14" s="19" t="s">
        <v>81</v>
      </c>
      <c r="B14" s="19" t="s">
        <v>93</v>
      </c>
      <c r="C14" s="19" t="s">
        <v>94</v>
      </c>
      <c r="D14" s="19" t="s">
        <v>95</v>
      </c>
      <c r="E14" s="19" t="s">
        <v>96</v>
      </c>
      <c r="F14" s="19" t="s">
        <v>97</v>
      </c>
      <c r="G14" s="19" t="s">
        <v>98</v>
      </c>
      <c r="H14" s="19" t="s">
        <v>99</v>
      </c>
      <c r="I14" s="19" t="s">
        <v>100</v>
      </c>
      <c r="J14" s="19" t="s">
        <v>181</v>
      </c>
    </row>
    <row r="15" spans="1:10" s="60" customFormat="1" ht="131.25" customHeight="1">
      <c r="A15" s="78" t="s">
        <v>445</v>
      </c>
      <c r="B15" s="43" t="s">
        <v>331</v>
      </c>
      <c r="C15" s="43" t="s">
        <v>302</v>
      </c>
      <c r="D15" s="43" t="s">
        <v>128</v>
      </c>
      <c r="E15" s="43" t="s">
        <v>129</v>
      </c>
      <c r="F15" s="47"/>
      <c r="G15" s="43" t="s">
        <v>130</v>
      </c>
      <c r="H15" s="43" t="s">
        <v>131</v>
      </c>
      <c r="I15" s="43" t="s">
        <v>109</v>
      </c>
      <c r="J15" s="45"/>
    </row>
    <row r="16" spans="1:10" s="62" customFormat="1" ht="23.1" customHeight="1">
      <c r="A16" s="18" t="s">
        <v>14</v>
      </c>
      <c r="B16" s="18" t="s">
        <v>332</v>
      </c>
      <c r="C16" s="18"/>
      <c r="D16" s="18"/>
      <c r="E16" s="18"/>
      <c r="F16" s="18"/>
      <c r="G16" s="18"/>
      <c r="H16" s="18"/>
      <c r="I16" s="18"/>
      <c r="J16" s="18"/>
    </row>
    <row r="17" spans="1:10" s="62" customFormat="1" ht="23.1" customHeight="1">
      <c r="A17" s="19" t="s">
        <v>27</v>
      </c>
      <c r="B17" s="19" t="s">
        <v>93</v>
      </c>
      <c r="C17" s="19" t="s">
        <v>94</v>
      </c>
      <c r="D17" s="19" t="s">
        <v>95</v>
      </c>
      <c r="E17" s="19" t="s">
        <v>96</v>
      </c>
      <c r="F17" s="19" t="s">
        <v>97</v>
      </c>
      <c r="G17" s="19" t="s">
        <v>98</v>
      </c>
      <c r="H17" s="19" t="s">
        <v>99</v>
      </c>
      <c r="I17" s="19" t="s">
        <v>100</v>
      </c>
      <c r="J17" s="19" t="s">
        <v>101</v>
      </c>
    </row>
    <row r="18" spans="1:10" ht="236.25">
      <c r="A18" s="78" t="s">
        <v>446</v>
      </c>
      <c r="B18" s="44" t="s">
        <v>333</v>
      </c>
      <c r="C18" s="44" t="s">
        <v>334</v>
      </c>
      <c r="D18" s="48" t="s">
        <v>335</v>
      </c>
      <c r="E18" s="43" t="s">
        <v>308</v>
      </c>
      <c r="F18" s="43" t="s">
        <v>336</v>
      </c>
      <c r="G18" s="43" t="s">
        <v>130</v>
      </c>
      <c r="H18" s="43" t="s">
        <v>117</v>
      </c>
      <c r="I18" s="43" t="s">
        <v>109</v>
      </c>
      <c r="J18" s="43" t="s">
        <v>310</v>
      </c>
    </row>
    <row r="19" spans="1:10" s="62" customFormat="1" ht="23.1" customHeight="1">
      <c r="A19" s="19" t="s">
        <v>39</v>
      </c>
      <c r="B19" s="19" t="s">
        <v>93</v>
      </c>
      <c r="C19" s="19" t="s">
        <v>94</v>
      </c>
      <c r="D19" s="19" t="s">
        <v>95</v>
      </c>
      <c r="E19" s="19" t="s">
        <v>96</v>
      </c>
      <c r="F19" s="19" t="s">
        <v>97</v>
      </c>
      <c r="G19" s="19" t="s">
        <v>98</v>
      </c>
      <c r="H19" s="19" t="s">
        <v>99</v>
      </c>
      <c r="I19" s="19" t="s">
        <v>100</v>
      </c>
      <c r="J19" s="19" t="s">
        <v>101</v>
      </c>
    </row>
    <row r="20" spans="1:10" ht="409.5">
      <c r="A20" s="78" t="s">
        <v>447</v>
      </c>
      <c r="B20" s="63" t="s">
        <v>478</v>
      </c>
      <c r="C20" s="63" t="s">
        <v>479</v>
      </c>
      <c r="D20" s="63" t="s">
        <v>480</v>
      </c>
      <c r="E20" s="43" t="s">
        <v>337</v>
      </c>
      <c r="F20" s="44" t="s">
        <v>338</v>
      </c>
      <c r="G20" s="43" t="s">
        <v>116</v>
      </c>
      <c r="H20" s="43" t="s">
        <v>108</v>
      </c>
      <c r="I20" s="43" t="s">
        <v>109</v>
      </c>
      <c r="J20" s="43" t="s">
        <v>339</v>
      </c>
    </row>
    <row r="21" spans="1:10" s="62" customFormat="1" ht="23.1" customHeight="1">
      <c r="A21" s="19" t="s">
        <v>51</v>
      </c>
      <c r="B21" s="19" t="s">
        <v>93</v>
      </c>
      <c r="C21" s="19" t="s">
        <v>94</v>
      </c>
      <c r="D21" s="19" t="s">
        <v>95</v>
      </c>
      <c r="E21" s="19" t="s">
        <v>96</v>
      </c>
      <c r="F21" s="19" t="s">
        <v>97</v>
      </c>
      <c r="G21" s="19" t="s">
        <v>98</v>
      </c>
      <c r="H21" s="19" t="s">
        <v>99</v>
      </c>
      <c r="I21" s="19" t="s">
        <v>100</v>
      </c>
      <c r="J21" s="19" t="s">
        <v>101</v>
      </c>
    </row>
    <row r="22" spans="1:10" ht="409.5">
      <c r="A22" s="78" t="s">
        <v>448</v>
      </c>
      <c r="B22" s="63" t="s">
        <v>340</v>
      </c>
      <c r="C22" s="63" t="s">
        <v>341</v>
      </c>
      <c r="D22" s="63" t="s">
        <v>342</v>
      </c>
      <c r="E22" s="43" t="s">
        <v>437</v>
      </c>
      <c r="F22" s="44" t="s">
        <v>343</v>
      </c>
      <c r="G22" s="43" t="s">
        <v>116</v>
      </c>
      <c r="H22" s="43" t="s">
        <v>108</v>
      </c>
      <c r="I22" s="43" t="s">
        <v>109</v>
      </c>
      <c r="J22" s="43" t="s">
        <v>344</v>
      </c>
    </row>
    <row r="23" spans="1:10" s="62" customFormat="1" ht="23.1" customHeight="1">
      <c r="A23" s="19" t="s">
        <v>63</v>
      </c>
      <c r="B23" s="19" t="s">
        <v>93</v>
      </c>
      <c r="C23" s="19" t="s">
        <v>94</v>
      </c>
      <c r="D23" s="19" t="s">
        <v>95</v>
      </c>
      <c r="E23" s="19" t="s">
        <v>96</v>
      </c>
      <c r="F23" s="19" t="s">
        <v>97</v>
      </c>
      <c r="G23" s="19" t="s">
        <v>98</v>
      </c>
      <c r="H23" s="19" t="s">
        <v>99</v>
      </c>
      <c r="I23" s="19" t="s">
        <v>100</v>
      </c>
      <c r="J23" s="19" t="s">
        <v>181</v>
      </c>
    </row>
    <row r="24" spans="1:10" s="60" customFormat="1" ht="183.75" customHeight="1">
      <c r="A24" s="78" t="s">
        <v>449</v>
      </c>
      <c r="B24" s="43" t="s">
        <v>345</v>
      </c>
      <c r="C24" s="43" t="s">
        <v>346</v>
      </c>
      <c r="D24" s="43" t="s">
        <v>128</v>
      </c>
      <c r="E24" s="43" t="s">
        <v>129</v>
      </c>
      <c r="F24" s="47"/>
      <c r="G24" s="43" t="s">
        <v>130</v>
      </c>
      <c r="H24" s="43" t="s">
        <v>131</v>
      </c>
      <c r="I24" s="43" t="s">
        <v>109</v>
      </c>
      <c r="J24" s="45"/>
    </row>
  </sheetData>
  <mergeCells count="1">
    <mergeCell ref="A1:J1"/>
  </mergeCells>
  <conditionalFormatting sqref="B3:B1048576">
    <cfRule type="expression" dxfId="56" priority="39">
      <formula>#REF! = "A"</formula>
    </cfRule>
  </conditionalFormatting>
  <conditionalFormatting sqref="C3:C6 C8 C10 C12 C25:C1048576">
    <cfRule type="expression" dxfId="55" priority="94">
      <formula>#REF! = "B"</formula>
    </cfRule>
  </conditionalFormatting>
  <conditionalFormatting sqref="C14">
    <cfRule type="expression" dxfId="54" priority="40">
      <formula>#REF! = "B"</formula>
    </cfRule>
  </conditionalFormatting>
  <conditionalFormatting sqref="C16:C23">
    <cfRule type="expression" dxfId="53" priority="2">
      <formula>#REF! = "B"</formula>
    </cfRule>
  </conditionalFormatting>
  <conditionalFormatting sqref="C7:D7">
    <cfRule type="expression" dxfId="52" priority="20">
      <formula>#REF! = "A"</formula>
    </cfRule>
  </conditionalFormatting>
  <conditionalFormatting sqref="C9:D9">
    <cfRule type="expression" dxfId="51" priority="18">
      <formula>#REF! = "A"</formula>
    </cfRule>
  </conditionalFormatting>
  <conditionalFormatting sqref="C11:D11">
    <cfRule type="expression" dxfId="50" priority="16">
      <formula>#REF! = "A"</formula>
    </cfRule>
  </conditionalFormatting>
  <conditionalFormatting sqref="C13:D13">
    <cfRule type="expression" dxfId="49" priority="12">
      <formula>#REF! = "A"</formula>
    </cfRule>
  </conditionalFormatting>
  <conditionalFormatting sqref="C15:D15">
    <cfRule type="expression" dxfId="48" priority="34">
      <formula>#REF! = "A"</formula>
    </cfRule>
  </conditionalFormatting>
  <conditionalFormatting sqref="C20:D20">
    <cfRule type="expression" dxfId="47" priority="14">
      <formula>#REF! = "A"</formula>
    </cfRule>
  </conditionalFormatting>
  <conditionalFormatting sqref="C22:D22">
    <cfRule type="expression" dxfId="46" priority="13">
      <formula>#REF! = "A"</formula>
    </cfRule>
  </conditionalFormatting>
  <conditionalFormatting sqref="C24:D24">
    <cfRule type="expression" dxfId="45" priority="5">
      <formula>#REF! = "A"</formula>
    </cfRule>
  </conditionalFormatting>
  <conditionalFormatting sqref="D3:D6 D8 D10 D14 D16:D23 D25:D1048576">
    <cfRule type="expression" dxfId="44" priority="95">
      <formula>#REF! = "C"</formula>
    </cfRule>
  </conditionalFormatting>
  <conditionalFormatting sqref="D12">
    <cfRule type="expression" dxfId="43" priority="41">
      <formula>#REF! = "C"</formula>
    </cfRule>
  </conditionalFormatting>
  <conditionalFormatting sqref="E3:E4 F3:J14 E19:J22">
    <cfRule type="expression" dxfId="42" priority="96">
      <formula>#REF! = "D"</formula>
    </cfRule>
  </conditionalFormatting>
  <conditionalFormatting sqref="E6:E17 F16:J23">
    <cfRule type="expression" dxfId="40" priority="3">
      <formula>#REF! = "D"</formula>
    </cfRule>
  </conditionalFormatting>
  <conditionalFormatting sqref="E19:E1048576">
    <cfRule type="expression" dxfId="38" priority="8">
      <formula>#REF! = "D"</formula>
    </cfRule>
  </conditionalFormatting>
  <conditionalFormatting sqref="G15:I15">
    <cfRule type="expression" dxfId="37" priority="32">
      <formula>#REF! = "D"</formula>
    </cfRule>
  </conditionalFormatting>
  <conditionalFormatting sqref="G24:I24">
    <cfRule type="expression" dxfId="36" priority="4">
      <formula>#REF! = "D"</formula>
    </cfRule>
  </conditionalFormatting>
  <pageMargins left="0.27559055118110237" right="0.27559055118110237" top="0.39370078740157483" bottom="0.39370078740157483" header="0.27559055118110237" footer="0.27559055118110237"/>
  <pageSetup paperSize="8" scale="64" fitToHeight="0" orientation="landscape" horizontalDpi="300" verticalDpi="300" r:id="rId1"/>
  <rowBreaks count="2" manualBreakCount="2">
    <brk id="9" max="16383" man="1"/>
    <brk id="18" max="16383" man="1"/>
  </rowBreaks>
  <extLst>
    <ext xmlns:x14="http://schemas.microsoft.com/office/spreadsheetml/2009/9/main" uri="{78C0D931-6437-407d-A8EE-F0AAD7539E65}">
      <x14:conditionalFormattings>
        <x14:conditionalFormatting xmlns:xm="http://schemas.microsoft.com/office/excel/2006/main">
          <x14:cfRule type="expression" priority="21" id="{2D1968F0-79A5-4CC0-BD39-2A2EA9D47266}">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 xmlns:xm="http://schemas.microsoft.com/office/excel/2006/main">
          <x14:cfRule type="expression" priority="1" id="{BDCF62BC-179C-4D3F-A2A2-60FF57419450}">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E18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70004EAA-60F9-4A52-B2B2-6A112F3987C2}">
          <x14:formula1>
            <xm:f>Validierung!$A$4:$A$6</xm:f>
          </x14:formula1>
          <xm:sqref>G5 G7 G9 G20 G13 G11 G22 G18</xm:sqref>
        </x14:dataValidation>
        <x14:dataValidation type="list" allowBlank="1" showInputMessage="1" showErrorMessage="1" xr:uid="{FC8AAE71-46C7-4814-ABF7-847C54631ED0}">
          <x14:formula1>
            <xm:f>Validierung!$B$4:$B$6</xm:f>
          </x14:formula1>
          <xm:sqref>H7 H9 H20 H15 H11 H13 H5 H22 H24 H18</xm:sqref>
        </x14:dataValidation>
        <x14:dataValidation type="list" allowBlank="1" showInputMessage="1" showErrorMessage="1" xr:uid="{8CBD0B49-690A-40D0-868C-53F1B7B7CD52}">
          <x14:formula1>
            <xm:f>Validierung!$A$4:$A$7</xm:f>
          </x14:formula1>
          <xm:sqref>G15 G24</xm:sqref>
        </x14:dataValidation>
        <x14:dataValidation type="list" allowBlank="1" showInputMessage="1" showErrorMessage="1" xr:uid="{4D5A1071-6278-4148-B924-5BAB6DBEC909}">
          <x14:formula1>
            <xm:f>Validierung!$E$4:$E$6</xm:f>
          </x14:formula1>
          <xm:sqref>I5 I7 I9 I20 I15 I11 I13 I22 I24 I18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814E-CEA7-4805-B6B8-F55A25805425}">
  <dimension ref="A1:DH241"/>
  <sheetViews>
    <sheetView showGridLines="0" zoomScale="115" zoomScaleNormal="115" workbookViewId="0">
      <pane ySplit="1" topLeftCell="A22" activePane="bottomLeft" state="frozen"/>
      <selection pane="bottomLeft" activeCell="D24" sqref="D24"/>
    </sheetView>
  </sheetViews>
  <sheetFormatPr baseColWidth="10" defaultColWidth="11.375" defaultRowHeight="11.25"/>
  <cols>
    <col min="1" max="1" width="32.625" style="65" customWidth="1"/>
    <col min="2" max="4" width="50.625" style="65" customWidth="1"/>
    <col min="5" max="5" width="28.625" style="65" customWidth="1"/>
    <col min="6" max="6" width="25.625" style="65" customWidth="1"/>
    <col min="7" max="10" width="18.625" style="65" customWidth="1"/>
    <col min="11" max="112" width="11.375" style="64"/>
    <col min="113" max="16384" width="11.375" style="65"/>
  </cols>
  <sheetData>
    <row r="1" spans="1:112" ht="33" customHeight="1">
      <c r="A1" s="96" t="s">
        <v>347</v>
      </c>
      <c r="B1" s="97"/>
      <c r="C1" s="97"/>
      <c r="D1" s="97"/>
      <c r="E1" s="97"/>
      <c r="F1" s="97"/>
      <c r="G1" s="97"/>
      <c r="H1" s="97"/>
      <c r="I1" s="97"/>
      <c r="J1" s="98"/>
    </row>
    <row r="2" spans="1:112" ht="21.95" hidden="1" customHeight="1">
      <c r="A2" s="66"/>
      <c r="B2" s="66"/>
      <c r="C2" s="66"/>
      <c r="D2" s="66"/>
      <c r="E2" s="66"/>
      <c r="F2" s="66"/>
      <c r="G2" s="66"/>
      <c r="H2" s="66"/>
      <c r="I2" s="66"/>
      <c r="J2" s="67"/>
    </row>
    <row r="3" spans="1:112" s="69" customFormat="1" ht="23.1" customHeight="1">
      <c r="A3" s="18" t="s">
        <v>11</v>
      </c>
      <c r="B3" s="18" t="s">
        <v>348</v>
      </c>
      <c r="C3" s="18"/>
      <c r="D3" s="18"/>
      <c r="E3" s="18"/>
      <c r="F3" s="18"/>
      <c r="G3" s="18"/>
      <c r="H3" s="18"/>
      <c r="I3" s="18"/>
      <c r="J3" s="1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c r="DB3" s="68"/>
      <c r="DC3" s="68"/>
      <c r="DD3" s="68"/>
      <c r="DE3" s="68"/>
      <c r="DF3" s="68"/>
      <c r="DG3" s="68"/>
      <c r="DH3" s="68"/>
    </row>
    <row r="4" spans="1:112" s="69" customFormat="1" ht="23.1" customHeight="1">
      <c r="A4" s="19" t="s">
        <v>24</v>
      </c>
      <c r="B4" s="19" t="s">
        <v>93</v>
      </c>
      <c r="C4" s="19" t="s">
        <v>94</v>
      </c>
      <c r="D4" s="19" t="s">
        <v>95</v>
      </c>
      <c r="E4" s="19" t="s">
        <v>96</v>
      </c>
      <c r="F4" s="19" t="s">
        <v>97</v>
      </c>
      <c r="G4" s="19" t="s">
        <v>98</v>
      </c>
      <c r="H4" s="19" t="s">
        <v>99</v>
      </c>
      <c r="I4" s="19" t="s">
        <v>100</v>
      </c>
      <c r="J4" s="19" t="s">
        <v>101</v>
      </c>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c r="BZ4" s="68"/>
      <c r="CA4" s="68"/>
      <c r="CB4" s="68"/>
      <c r="CC4" s="68"/>
      <c r="CD4" s="68"/>
      <c r="CE4" s="68"/>
      <c r="CF4" s="68"/>
      <c r="CG4" s="68"/>
      <c r="CH4" s="68"/>
      <c r="CI4" s="68"/>
      <c r="CJ4" s="68"/>
      <c r="CK4" s="68"/>
      <c r="CL4" s="68"/>
      <c r="CM4" s="68"/>
      <c r="CN4" s="68"/>
      <c r="CO4" s="68"/>
      <c r="CP4" s="68"/>
      <c r="CQ4" s="68"/>
      <c r="CR4" s="68"/>
      <c r="CS4" s="68"/>
      <c r="CT4" s="68"/>
      <c r="CU4" s="68"/>
      <c r="CV4" s="68"/>
      <c r="CW4" s="68"/>
      <c r="CX4" s="68"/>
      <c r="CY4" s="68"/>
      <c r="CZ4" s="68"/>
      <c r="DA4" s="68"/>
      <c r="DB4" s="68"/>
      <c r="DC4" s="68"/>
      <c r="DD4" s="68"/>
      <c r="DE4" s="68"/>
      <c r="DF4" s="68"/>
      <c r="DG4" s="68"/>
      <c r="DH4" s="68"/>
    </row>
    <row r="5" spans="1:112" ht="243" customHeight="1">
      <c r="A5" s="77" t="s">
        <v>349</v>
      </c>
      <c r="B5" s="28" t="s">
        <v>350</v>
      </c>
      <c r="C5" s="28" t="s">
        <v>351</v>
      </c>
      <c r="D5" s="28" t="s">
        <v>352</v>
      </c>
      <c r="E5" s="29" t="s">
        <v>353</v>
      </c>
      <c r="F5" s="29" t="s">
        <v>354</v>
      </c>
      <c r="G5" s="29" t="s">
        <v>107</v>
      </c>
      <c r="H5" s="29" t="s">
        <v>117</v>
      </c>
      <c r="I5" s="29" t="s">
        <v>109</v>
      </c>
      <c r="J5" s="29" t="s">
        <v>355</v>
      </c>
    </row>
    <row r="6" spans="1:112" s="62" customFormat="1" ht="23.1" customHeight="1">
      <c r="A6" s="19" t="s">
        <v>36</v>
      </c>
      <c r="B6" s="19" t="s">
        <v>93</v>
      </c>
      <c r="C6" s="19" t="s">
        <v>94</v>
      </c>
      <c r="D6" s="19" t="s">
        <v>95</v>
      </c>
      <c r="E6" s="19" t="s">
        <v>96</v>
      </c>
      <c r="F6" s="19" t="s">
        <v>97</v>
      </c>
      <c r="G6" s="19" t="s">
        <v>98</v>
      </c>
      <c r="H6" s="19" t="s">
        <v>99</v>
      </c>
      <c r="I6" s="19" t="s">
        <v>100</v>
      </c>
      <c r="J6" s="19" t="s">
        <v>101</v>
      </c>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row>
    <row r="7" spans="1:112" ht="371.25">
      <c r="A7" s="79" t="s">
        <v>356</v>
      </c>
      <c r="B7" s="29" t="s">
        <v>429</v>
      </c>
      <c r="C7" s="29" t="s">
        <v>428</v>
      </c>
      <c r="D7" s="29" t="s">
        <v>430</v>
      </c>
      <c r="E7" s="29" t="s">
        <v>357</v>
      </c>
      <c r="F7" s="29" t="s">
        <v>358</v>
      </c>
      <c r="G7" s="29" t="s">
        <v>107</v>
      </c>
      <c r="H7" s="29" t="s">
        <v>117</v>
      </c>
      <c r="I7" s="29" t="s">
        <v>109</v>
      </c>
      <c r="J7" s="29" t="s">
        <v>359</v>
      </c>
    </row>
    <row r="8" spans="1:112" s="62" customFormat="1" ht="23.1" customHeight="1">
      <c r="A8" s="19" t="s">
        <v>48</v>
      </c>
      <c r="B8" s="19" t="s">
        <v>93</v>
      </c>
      <c r="C8" s="19" t="s">
        <v>94</v>
      </c>
      <c r="D8" s="19" t="s">
        <v>95</v>
      </c>
      <c r="E8" s="19" t="s">
        <v>96</v>
      </c>
      <c r="F8" s="19" t="s">
        <v>97</v>
      </c>
      <c r="G8" s="19" t="s">
        <v>98</v>
      </c>
      <c r="H8" s="19" t="s">
        <v>99</v>
      </c>
      <c r="I8" s="19" t="s">
        <v>100</v>
      </c>
      <c r="J8" s="19" t="s">
        <v>101</v>
      </c>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row>
    <row r="9" spans="1:112" ht="409.5">
      <c r="A9" s="79" t="s">
        <v>360</v>
      </c>
      <c r="B9" s="29" t="s">
        <v>462</v>
      </c>
      <c r="C9" s="29" t="s">
        <v>361</v>
      </c>
      <c r="D9" s="29" t="s">
        <v>362</v>
      </c>
      <c r="E9" s="29" t="s">
        <v>363</v>
      </c>
      <c r="F9" s="29" t="s">
        <v>364</v>
      </c>
      <c r="G9" s="29" t="s">
        <v>107</v>
      </c>
      <c r="H9" s="29" t="s">
        <v>117</v>
      </c>
      <c r="I9" s="29" t="s">
        <v>124</v>
      </c>
      <c r="J9" s="29" t="s">
        <v>365</v>
      </c>
    </row>
    <row r="10" spans="1:112" s="62" customFormat="1" ht="23.1" customHeight="1">
      <c r="A10" s="19" t="s">
        <v>60</v>
      </c>
      <c r="B10" s="19" t="s">
        <v>93</v>
      </c>
      <c r="C10" s="19" t="s">
        <v>94</v>
      </c>
      <c r="D10" s="19" t="s">
        <v>95</v>
      </c>
      <c r="E10" s="19" t="s">
        <v>96</v>
      </c>
      <c r="F10" s="19" t="s">
        <v>97</v>
      </c>
      <c r="G10" s="19" t="s">
        <v>98</v>
      </c>
      <c r="H10" s="19" t="s">
        <v>99</v>
      </c>
      <c r="I10" s="19" t="s">
        <v>100</v>
      </c>
      <c r="J10" s="19" t="s">
        <v>101</v>
      </c>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row>
    <row r="11" spans="1:112" ht="390.75" customHeight="1">
      <c r="A11" s="79" t="s">
        <v>366</v>
      </c>
      <c r="B11" s="29" t="s">
        <v>367</v>
      </c>
      <c r="C11" s="29" t="s">
        <v>368</v>
      </c>
      <c r="D11" s="29" t="s">
        <v>369</v>
      </c>
      <c r="E11" s="29" t="s">
        <v>370</v>
      </c>
      <c r="F11" s="29" t="s">
        <v>371</v>
      </c>
      <c r="G11" s="29" t="s">
        <v>116</v>
      </c>
      <c r="H11" s="29" t="s">
        <v>108</v>
      </c>
      <c r="I11" s="29" t="s">
        <v>124</v>
      </c>
      <c r="J11" s="29" t="s">
        <v>372</v>
      </c>
    </row>
    <row r="12" spans="1:112" s="62" customFormat="1" ht="23.1" customHeight="1">
      <c r="A12" s="19" t="s">
        <v>71</v>
      </c>
      <c r="B12" s="19" t="s">
        <v>93</v>
      </c>
      <c r="C12" s="19" t="s">
        <v>94</v>
      </c>
      <c r="D12" s="19" t="s">
        <v>95</v>
      </c>
      <c r="E12" s="19" t="s">
        <v>96</v>
      </c>
      <c r="F12" s="19" t="s">
        <v>97</v>
      </c>
      <c r="G12" s="19" t="s">
        <v>98</v>
      </c>
      <c r="H12" s="19" t="s">
        <v>99</v>
      </c>
      <c r="I12" s="19" t="s">
        <v>100</v>
      </c>
      <c r="J12" s="19" t="s">
        <v>101</v>
      </c>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row>
    <row r="13" spans="1:112" ht="206.25" customHeight="1">
      <c r="A13" s="77" t="s">
        <v>373</v>
      </c>
      <c r="B13" s="29" t="s">
        <v>431</v>
      </c>
      <c r="C13" s="28" t="s">
        <v>432</v>
      </c>
      <c r="D13" s="28" t="s">
        <v>374</v>
      </c>
      <c r="E13" s="29" t="s">
        <v>375</v>
      </c>
      <c r="F13" s="29" t="s">
        <v>376</v>
      </c>
      <c r="G13" s="29" t="s">
        <v>116</v>
      </c>
      <c r="H13" s="29" t="s">
        <v>108</v>
      </c>
      <c r="I13" s="29" t="s">
        <v>109</v>
      </c>
      <c r="J13" s="29" t="s">
        <v>372</v>
      </c>
    </row>
    <row r="14" spans="1:112" s="62" customFormat="1" ht="23.1" customHeight="1">
      <c r="A14" s="19" t="s">
        <v>79</v>
      </c>
      <c r="B14" s="19" t="s">
        <v>93</v>
      </c>
      <c r="C14" s="19" t="s">
        <v>94</v>
      </c>
      <c r="D14" s="19" t="s">
        <v>95</v>
      </c>
      <c r="E14" s="19" t="s">
        <v>96</v>
      </c>
      <c r="F14" s="19" t="s">
        <v>97</v>
      </c>
      <c r="G14" s="19" t="s">
        <v>98</v>
      </c>
      <c r="H14" s="19" t="s">
        <v>99</v>
      </c>
      <c r="I14" s="19" t="s">
        <v>100</v>
      </c>
      <c r="J14" s="19" t="s">
        <v>101</v>
      </c>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70"/>
      <c r="CU14" s="70"/>
      <c r="CV14" s="70"/>
      <c r="CW14" s="70"/>
      <c r="CX14" s="70"/>
      <c r="CY14" s="70"/>
      <c r="CZ14" s="70"/>
      <c r="DA14" s="70"/>
      <c r="DB14" s="70"/>
      <c r="DC14" s="70"/>
      <c r="DD14" s="70"/>
      <c r="DE14" s="70"/>
      <c r="DF14" s="70"/>
      <c r="DG14" s="70"/>
      <c r="DH14" s="70"/>
    </row>
    <row r="15" spans="1:112" ht="41.25" customHeight="1">
      <c r="A15" s="77" t="s">
        <v>377</v>
      </c>
      <c r="B15" s="95" t="s">
        <v>47</v>
      </c>
      <c r="C15" s="95"/>
      <c r="D15" s="95"/>
      <c r="E15" s="95"/>
      <c r="F15" s="71"/>
      <c r="G15" s="29" t="s">
        <v>116</v>
      </c>
      <c r="H15" s="29" t="s">
        <v>108</v>
      </c>
      <c r="I15" s="29" t="s">
        <v>124</v>
      </c>
      <c r="J15" s="29" t="s">
        <v>79</v>
      </c>
    </row>
    <row r="16" spans="1:112" s="62" customFormat="1" ht="23.1" customHeight="1">
      <c r="A16" s="19" t="s">
        <v>86</v>
      </c>
      <c r="B16" s="19" t="s">
        <v>93</v>
      </c>
      <c r="C16" s="19" t="s">
        <v>94</v>
      </c>
      <c r="D16" s="19" t="s">
        <v>95</v>
      </c>
      <c r="E16" s="19" t="s">
        <v>96</v>
      </c>
      <c r="F16" s="19" t="s">
        <v>97</v>
      </c>
      <c r="G16" s="19" t="s">
        <v>98</v>
      </c>
      <c r="H16" s="19" t="s">
        <v>99</v>
      </c>
      <c r="I16" s="19" t="s">
        <v>100</v>
      </c>
      <c r="J16" s="19" t="s">
        <v>181</v>
      </c>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0"/>
      <c r="CI16" s="70"/>
      <c r="CJ16" s="70"/>
      <c r="CK16" s="70"/>
      <c r="CL16" s="70"/>
      <c r="CM16" s="70"/>
      <c r="CN16" s="70"/>
      <c r="CO16" s="70"/>
      <c r="CP16" s="70"/>
      <c r="CQ16" s="70"/>
      <c r="CR16" s="70"/>
      <c r="CS16" s="70"/>
      <c r="CT16" s="70"/>
      <c r="CU16" s="70"/>
      <c r="CV16" s="70"/>
      <c r="CW16" s="70"/>
      <c r="CX16" s="70"/>
      <c r="CY16" s="70"/>
      <c r="CZ16" s="70"/>
      <c r="DA16" s="70"/>
      <c r="DB16" s="70"/>
      <c r="DC16" s="70"/>
      <c r="DD16" s="70"/>
      <c r="DE16" s="70"/>
      <c r="DF16" s="70"/>
      <c r="DG16" s="70"/>
      <c r="DH16" s="70"/>
    </row>
    <row r="17" spans="1:112" ht="135.94999999999999" customHeight="1">
      <c r="A17" s="77" t="s">
        <v>125</v>
      </c>
      <c r="B17" s="29" t="s">
        <v>378</v>
      </c>
      <c r="C17" s="29" t="s">
        <v>286</v>
      </c>
      <c r="D17" s="29" t="s">
        <v>128</v>
      </c>
      <c r="E17" s="29" t="s">
        <v>129</v>
      </c>
      <c r="F17" s="30"/>
      <c r="G17" s="29" t="s">
        <v>130</v>
      </c>
      <c r="H17" s="29" t="s">
        <v>131</v>
      </c>
      <c r="I17" s="29" t="s">
        <v>109</v>
      </c>
      <c r="J17" s="31"/>
    </row>
    <row r="18" spans="1:112" s="69" customFormat="1" ht="23.1" customHeight="1">
      <c r="A18" s="18" t="s">
        <v>12</v>
      </c>
      <c r="B18" s="18" t="s">
        <v>379</v>
      </c>
      <c r="C18" s="18"/>
      <c r="D18" s="18"/>
      <c r="E18" s="18"/>
      <c r="F18" s="18"/>
      <c r="G18" s="18"/>
      <c r="H18" s="18"/>
      <c r="I18" s="18"/>
      <c r="J18" s="1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row>
    <row r="19" spans="1:112" s="62" customFormat="1" ht="23.1" customHeight="1">
      <c r="A19" s="19" t="s">
        <v>25</v>
      </c>
      <c r="B19" s="19" t="s">
        <v>93</v>
      </c>
      <c r="C19" s="19" t="s">
        <v>94</v>
      </c>
      <c r="D19" s="19" t="s">
        <v>95</v>
      </c>
      <c r="E19" s="19" t="s">
        <v>96</v>
      </c>
      <c r="F19" s="19" t="s">
        <v>97</v>
      </c>
      <c r="G19" s="19" t="s">
        <v>98</v>
      </c>
      <c r="H19" s="19" t="s">
        <v>99</v>
      </c>
      <c r="I19" s="19" t="s">
        <v>100</v>
      </c>
      <c r="J19" s="19" t="s">
        <v>101</v>
      </c>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c r="CX19" s="70"/>
      <c r="CY19" s="70"/>
      <c r="CZ19" s="70"/>
      <c r="DA19" s="70"/>
      <c r="DB19" s="70"/>
      <c r="DC19" s="70"/>
      <c r="DD19" s="70"/>
      <c r="DE19" s="70"/>
      <c r="DF19" s="70"/>
      <c r="DG19" s="70"/>
      <c r="DH19" s="70"/>
    </row>
    <row r="20" spans="1:112" ht="396" customHeight="1">
      <c r="A20" s="77" t="s">
        <v>380</v>
      </c>
      <c r="B20" s="29" t="s">
        <v>381</v>
      </c>
      <c r="C20" s="29" t="s">
        <v>382</v>
      </c>
      <c r="D20" s="29" t="s">
        <v>383</v>
      </c>
      <c r="E20" s="29" t="s">
        <v>137</v>
      </c>
      <c r="F20" s="29" t="s">
        <v>384</v>
      </c>
      <c r="G20" s="31" t="s">
        <v>130</v>
      </c>
      <c r="H20" s="29" t="s">
        <v>117</v>
      </c>
      <c r="I20" s="29" t="s">
        <v>109</v>
      </c>
      <c r="J20" s="31"/>
    </row>
    <row r="21" spans="1:112" s="62" customFormat="1" ht="23.1" customHeight="1">
      <c r="A21" s="19" t="s">
        <v>37</v>
      </c>
      <c r="B21" s="19" t="s">
        <v>93</v>
      </c>
      <c r="C21" s="19" t="s">
        <v>94</v>
      </c>
      <c r="D21" s="19" t="s">
        <v>95</v>
      </c>
      <c r="E21" s="19" t="s">
        <v>96</v>
      </c>
      <c r="F21" s="19" t="s">
        <v>97</v>
      </c>
      <c r="G21" s="19" t="s">
        <v>98</v>
      </c>
      <c r="H21" s="19" t="s">
        <v>99</v>
      </c>
      <c r="I21" s="19" t="s">
        <v>100</v>
      </c>
      <c r="J21" s="19" t="s">
        <v>101</v>
      </c>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c r="CE21" s="70"/>
      <c r="CF21" s="70"/>
      <c r="CG21" s="70"/>
      <c r="CH21" s="70"/>
      <c r="CI21" s="70"/>
      <c r="CJ21" s="70"/>
      <c r="CK21" s="70"/>
      <c r="CL21" s="70"/>
      <c r="CM21" s="70"/>
      <c r="CN21" s="70"/>
      <c r="CO21" s="70"/>
      <c r="CP21" s="70"/>
      <c r="CQ21" s="70"/>
      <c r="CR21" s="70"/>
      <c r="CS21" s="70"/>
      <c r="CT21" s="70"/>
      <c r="CU21" s="70"/>
      <c r="CV21" s="70"/>
      <c r="CW21" s="70"/>
      <c r="CX21" s="70"/>
      <c r="CY21" s="70"/>
      <c r="CZ21" s="70"/>
      <c r="DA21" s="70"/>
      <c r="DB21" s="70"/>
      <c r="DC21" s="70"/>
      <c r="DD21" s="70"/>
      <c r="DE21" s="70"/>
      <c r="DF21" s="70"/>
      <c r="DG21" s="70"/>
      <c r="DH21" s="70"/>
    </row>
    <row r="22" spans="1:112" ht="181.5" customHeight="1">
      <c r="A22" s="77" t="s">
        <v>385</v>
      </c>
      <c r="B22" s="28" t="s">
        <v>386</v>
      </c>
      <c r="C22" s="28" t="s">
        <v>387</v>
      </c>
      <c r="D22" s="28" t="s">
        <v>388</v>
      </c>
      <c r="E22" s="28" t="s">
        <v>389</v>
      </c>
      <c r="F22" s="31"/>
      <c r="G22" s="31" t="s">
        <v>130</v>
      </c>
      <c r="H22" s="29" t="s">
        <v>117</v>
      </c>
      <c r="I22" s="29" t="s">
        <v>124</v>
      </c>
      <c r="J22" s="29" t="s">
        <v>390</v>
      </c>
    </row>
    <row r="23" spans="1:112" s="62" customFormat="1" ht="23.1" customHeight="1">
      <c r="A23" s="19" t="s">
        <v>49</v>
      </c>
      <c r="B23" s="19" t="s">
        <v>93</v>
      </c>
      <c r="C23" s="19" t="s">
        <v>94</v>
      </c>
      <c r="D23" s="19" t="s">
        <v>95</v>
      </c>
      <c r="E23" s="19" t="s">
        <v>96</v>
      </c>
      <c r="F23" s="19" t="s">
        <v>97</v>
      </c>
      <c r="G23" s="19" t="s">
        <v>98</v>
      </c>
      <c r="H23" s="19" t="s">
        <v>99</v>
      </c>
      <c r="I23" s="19" t="s">
        <v>100</v>
      </c>
      <c r="J23" s="19" t="s">
        <v>101</v>
      </c>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c r="DH23" s="70"/>
    </row>
    <row r="24" spans="1:112" ht="255" customHeight="1">
      <c r="A24" s="79" t="s">
        <v>391</v>
      </c>
      <c r="B24" s="29" t="s">
        <v>392</v>
      </c>
      <c r="C24" s="29" t="s">
        <v>393</v>
      </c>
      <c r="D24" s="29" t="s">
        <v>468</v>
      </c>
      <c r="E24" s="28" t="s">
        <v>394</v>
      </c>
      <c r="F24" s="28" t="s">
        <v>395</v>
      </c>
      <c r="G24" s="31" t="s">
        <v>130</v>
      </c>
      <c r="H24" s="29" t="s">
        <v>117</v>
      </c>
      <c r="I24" s="29" t="s">
        <v>124</v>
      </c>
      <c r="J24" s="31"/>
    </row>
    <row r="25" spans="1:112" s="62" customFormat="1" ht="23.1" customHeight="1">
      <c r="A25" s="19" t="s">
        <v>61</v>
      </c>
      <c r="B25" s="19" t="s">
        <v>93</v>
      </c>
      <c r="C25" s="19" t="s">
        <v>94</v>
      </c>
      <c r="D25" s="19" t="s">
        <v>95</v>
      </c>
      <c r="E25" s="19" t="s">
        <v>96</v>
      </c>
      <c r="F25" s="19" t="s">
        <v>97</v>
      </c>
      <c r="G25" s="19" t="s">
        <v>98</v>
      </c>
      <c r="H25" s="19" t="s">
        <v>99</v>
      </c>
      <c r="I25" s="19" t="s">
        <v>100</v>
      </c>
      <c r="J25" s="19" t="s">
        <v>101</v>
      </c>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c r="DH25" s="70"/>
    </row>
    <row r="26" spans="1:112" ht="157.5">
      <c r="A26" s="77" t="s">
        <v>396</v>
      </c>
      <c r="B26" s="28" t="s">
        <v>397</v>
      </c>
      <c r="C26" s="28" t="s">
        <v>398</v>
      </c>
      <c r="D26" s="28" t="s">
        <v>399</v>
      </c>
      <c r="E26" s="28" t="s">
        <v>400</v>
      </c>
      <c r="F26" s="31"/>
      <c r="G26" s="31" t="s">
        <v>130</v>
      </c>
      <c r="H26" s="29" t="s">
        <v>117</v>
      </c>
      <c r="I26" s="29" t="s">
        <v>124</v>
      </c>
      <c r="J26" s="31"/>
    </row>
    <row r="27" spans="1:112" s="62" customFormat="1" ht="23.1" customHeight="1">
      <c r="A27" s="19" t="s">
        <v>72</v>
      </c>
      <c r="B27" s="19" t="s">
        <v>93</v>
      </c>
      <c r="C27" s="19" t="s">
        <v>94</v>
      </c>
      <c r="D27" s="19" t="s">
        <v>95</v>
      </c>
      <c r="E27" s="19" t="s">
        <v>96</v>
      </c>
      <c r="F27" s="19" t="s">
        <v>97</v>
      </c>
      <c r="G27" s="19" t="s">
        <v>98</v>
      </c>
      <c r="H27" s="19" t="s">
        <v>99</v>
      </c>
      <c r="I27" s="19" t="s">
        <v>100</v>
      </c>
      <c r="J27" s="19" t="s">
        <v>101</v>
      </c>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row>
    <row r="28" spans="1:112" ht="203.25" customHeight="1">
      <c r="A28" s="79" t="s">
        <v>401</v>
      </c>
      <c r="B28" s="28" t="s">
        <v>465</v>
      </c>
      <c r="C28" s="28" t="s">
        <v>466</v>
      </c>
      <c r="D28" s="28" t="s">
        <v>467</v>
      </c>
      <c r="E28" s="29" t="s">
        <v>402</v>
      </c>
      <c r="F28" s="29"/>
      <c r="G28" s="29" t="s">
        <v>116</v>
      </c>
      <c r="H28" s="29" t="s">
        <v>108</v>
      </c>
      <c r="I28" s="29" t="s">
        <v>109</v>
      </c>
      <c r="J28" s="29"/>
    </row>
    <row r="29" spans="1:112" s="62" customFormat="1" ht="22.5" customHeight="1">
      <c r="A29" s="19" t="s">
        <v>80</v>
      </c>
      <c r="B29" s="19" t="s">
        <v>93</v>
      </c>
      <c r="C29" s="19" t="s">
        <v>94</v>
      </c>
      <c r="D29" s="19" t="s">
        <v>95</v>
      </c>
      <c r="E29" s="19" t="s">
        <v>96</v>
      </c>
      <c r="F29" s="19" t="s">
        <v>97</v>
      </c>
      <c r="G29" s="19" t="s">
        <v>98</v>
      </c>
      <c r="H29" s="19" t="s">
        <v>99</v>
      </c>
      <c r="I29" s="19" t="s">
        <v>100</v>
      </c>
      <c r="J29" s="19" t="s">
        <v>101</v>
      </c>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c r="DH29" s="70"/>
    </row>
    <row r="30" spans="1:112" ht="49.5" customHeight="1">
      <c r="A30" s="80" t="s">
        <v>413</v>
      </c>
      <c r="B30" s="95" t="s">
        <v>416</v>
      </c>
      <c r="C30" s="95"/>
      <c r="D30" s="95"/>
      <c r="E30" s="95"/>
      <c r="F30" s="27"/>
      <c r="G30" s="31" t="s">
        <v>116</v>
      </c>
      <c r="H30" s="29" t="s">
        <v>108</v>
      </c>
      <c r="I30" s="29" t="s">
        <v>124</v>
      </c>
      <c r="J30" s="31"/>
    </row>
    <row r="31" spans="1:112" s="62" customFormat="1" ht="23.1" customHeight="1">
      <c r="A31" s="19" t="s">
        <v>87</v>
      </c>
      <c r="B31" s="19" t="s">
        <v>93</v>
      </c>
      <c r="C31" s="19" t="s">
        <v>94</v>
      </c>
      <c r="D31" s="19" t="s">
        <v>95</v>
      </c>
      <c r="E31" s="19" t="s">
        <v>96</v>
      </c>
      <c r="F31" s="19" t="s">
        <v>97</v>
      </c>
      <c r="G31" s="19" t="s">
        <v>98</v>
      </c>
      <c r="H31" s="19" t="s">
        <v>99</v>
      </c>
      <c r="I31" s="19" t="s">
        <v>100</v>
      </c>
      <c r="J31" s="19" t="s">
        <v>181</v>
      </c>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c r="DH31" s="70"/>
    </row>
    <row r="32" spans="1:112" ht="127.5" customHeight="1">
      <c r="A32" s="77" t="s">
        <v>125</v>
      </c>
      <c r="B32" s="29" t="s">
        <v>403</v>
      </c>
      <c r="C32" s="29" t="s">
        <v>127</v>
      </c>
      <c r="D32" s="29" t="s">
        <v>404</v>
      </c>
      <c r="E32" s="29" t="s">
        <v>129</v>
      </c>
      <c r="F32" s="30"/>
      <c r="G32" s="29" t="s">
        <v>130</v>
      </c>
      <c r="H32" s="29" t="s">
        <v>131</v>
      </c>
      <c r="I32" s="29" t="s">
        <v>109</v>
      </c>
      <c r="J32" s="31"/>
    </row>
    <row r="33" s="64" customFormat="1"/>
    <row r="34" s="64" customFormat="1"/>
    <row r="35" s="64" customFormat="1"/>
    <row r="36" s="64" customFormat="1"/>
    <row r="37" s="64" customFormat="1"/>
    <row r="38" s="64" customFormat="1"/>
    <row r="39" s="64" customFormat="1"/>
    <row r="40" s="64" customFormat="1"/>
    <row r="41" s="64" customFormat="1"/>
    <row r="42" s="64" customFormat="1"/>
    <row r="43" s="64" customFormat="1"/>
    <row r="44" s="64" customFormat="1"/>
    <row r="45" s="64" customFormat="1"/>
    <row r="46" s="64" customFormat="1"/>
    <row r="47" s="64" customFormat="1"/>
    <row r="48" s="64" customFormat="1"/>
    <row r="49" s="64" customFormat="1"/>
    <row r="50" s="64" customFormat="1"/>
    <row r="51" s="64" customFormat="1"/>
    <row r="52" s="64" customFormat="1"/>
    <row r="53" s="64" customFormat="1"/>
    <row r="54" s="64" customFormat="1"/>
    <row r="55" s="64" customFormat="1"/>
    <row r="56" s="64" customFormat="1"/>
    <row r="57" s="64" customFormat="1"/>
    <row r="58" s="64" customFormat="1"/>
    <row r="59" s="64" customFormat="1"/>
    <row r="60" s="64" customFormat="1"/>
    <row r="61" s="64" customFormat="1"/>
    <row r="62" s="64" customFormat="1"/>
    <row r="63" s="64" customFormat="1"/>
    <row r="64" s="64" customFormat="1"/>
    <row r="65" s="64" customFormat="1"/>
    <row r="66" s="64" customFormat="1"/>
    <row r="67" s="64" customFormat="1"/>
    <row r="68" s="64" customFormat="1"/>
    <row r="69" s="64" customFormat="1"/>
    <row r="70" s="64" customFormat="1"/>
    <row r="71" s="64" customFormat="1"/>
    <row r="72" s="64" customFormat="1"/>
    <row r="73" s="64" customFormat="1"/>
    <row r="74" s="64" customFormat="1"/>
    <row r="75" s="64" customFormat="1"/>
    <row r="76" s="64" customFormat="1"/>
    <row r="77" s="64" customFormat="1"/>
    <row r="78" s="64" customFormat="1"/>
    <row r="79" s="64" customFormat="1"/>
    <row r="80" s="64" customFormat="1"/>
    <row r="81" s="64" customFormat="1"/>
    <row r="82" s="64" customFormat="1"/>
    <row r="83" s="64" customFormat="1"/>
    <row r="84" s="64" customFormat="1"/>
    <row r="85" s="64" customFormat="1"/>
    <row r="86" s="64" customFormat="1"/>
    <row r="87" s="64" customFormat="1"/>
    <row r="88" s="64" customFormat="1"/>
    <row r="89" s="64" customFormat="1"/>
    <row r="90" s="64" customFormat="1"/>
    <row r="91" s="64" customFormat="1"/>
    <row r="92" s="64" customFormat="1"/>
    <row r="93" s="64" customFormat="1"/>
    <row r="94" s="64" customFormat="1"/>
    <row r="95" s="64" customFormat="1"/>
    <row r="96" s="64" customFormat="1"/>
    <row r="97" s="64" customFormat="1"/>
    <row r="98" s="64" customFormat="1"/>
    <row r="99" s="64" customFormat="1"/>
    <row r="100" s="64" customFormat="1"/>
    <row r="101" s="64" customFormat="1"/>
    <row r="102" s="64" customFormat="1"/>
    <row r="103" s="64" customFormat="1"/>
    <row r="104" s="64" customFormat="1"/>
    <row r="105" s="64" customFormat="1"/>
    <row r="106" s="64" customFormat="1"/>
    <row r="107" s="64" customFormat="1"/>
    <row r="108" s="64" customFormat="1"/>
    <row r="109" s="64" customFormat="1"/>
    <row r="110" s="64" customFormat="1"/>
    <row r="111" s="64" customFormat="1"/>
    <row r="112" s="64" customFormat="1"/>
    <row r="113" s="64" customFormat="1"/>
    <row r="114" s="64" customFormat="1"/>
    <row r="115" s="64" customFormat="1"/>
    <row r="116" s="64" customFormat="1"/>
    <row r="117" s="64" customFormat="1"/>
    <row r="118" s="64" customFormat="1"/>
    <row r="119" s="64" customFormat="1"/>
    <row r="120" s="64" customFormat="1"/>
    <row r="121" s="64" customFormat="1"/>
    <row r="122" s="64" customFormat="1"/>
    <row r="123" s="64" customFormat="1"/>
    <row r="124" s="64" customFormat="1"/>
    <row r="125" s="64" customFormat="1"/>
    <row r="126" s="64" customFormat="1"/>
    <row r="127" s="64" customFormat="1"/>
    <row r="128" s="64" customFormat="1"/>
    <row r="129" s="64" customFormat="1"/>
    <row r="130" s="64" customFormat="1"/>
    <row r="131" s="64" customFormat="1"/>
    <row r="132" s="64" customFormat="1"/>
    <row r="133" s="64" customFormat="1"/>
    <row r="134" s="64" customFormat="1"/>
    <row r="135" s="64" customFormat="1"/>
    <row r="136" s="64" customFormat="1"/>
    <row r="137" s="64" customFormat="1"/>
    <row r="138" s="64" customFormat="1"/>
    <row r="139" s="64" customFormat="1"/>
    <row r="140" s="64" customFormat="1"/>
    <row r="141" s="64" customFormat="1"/>
    <row r="142" s="64" customFormat="1"/>
    <row r="143" s="64" customFormat="1"/>
    <row r="144" s="64" customFormat="1"/>
    <row r="145" s="64" customFormat="1"/>
    <row r="146" s="64" customFormat="1"/>
    <row r="147" s="64" customFormat="1"/>
    <row r="148" s="64" customFormat="1"/>
    <row r="149" s="64" customFormat="1"/>
    <row r="150" s="64" customFormat="1"/>
    <row r="151" s="64" customFormat="1"/>
    <row r="152" s="64" customFormat="1"/>
    <row r="153" s="64" customFormat="1"/>
    <row r="154" s="64" customFormat="1"/>
    <row r="155" s="64" customFormat="1"/>
    <row r="156" s="64" customFormat="1"/>
    <row r="157" s="64" customFormat="1"/>
    <row r="158" s="64" customFormat="1"/>
    <row r="159" s="64" customFormat="1"/>
    <row r="160" s="64" customFormat="1"/>
    <row r="161" s="64" customFormat="1"/>
    <row r="162" s="64" customFormat="1"/>
    <row r="163" s="64" customFormat="1"/>
    <row r="164" s="64" customFormat="1"/>
    <row r="165" s="64" customFormat="1"/>
    <row r="166" s="64" customFormat="1"/>
    <row r="167" s="64" customFormat="1"/>
    <row r="168" s="64" customFormat="1"/>
    <row r="169" s="64" customFormat="1"/>
    <row r="170" s="64" customFormat="1"/>
    <row r="171" s="64" customFormat="1"/>
    <row r="172" s="64" customFormat="1"/>
    <row r="173" s="64" customFormat="1"/>
    <row r="174" s="64" customFormat="1"/>
    <row r="175" s="64" customFormat="1"/>
    <row r="176" s="64" customFormat="1"/>
    <row r="177" s="64" customFormat="1"/>
    <row r="178" s="64" customFormat="1"/>
    <row r="179" s="64" customFormat="1"/>
    <row r="180" s="64" customFormat="1"/>
    <row r="181" s="64" customFormat="1"/>
    <row r="182" s="64" customFormat="1"/>
    <row r="183" s="64" customFormat="1"/>
    <row r="184" s="64" customFormat="1"/>
    <row r="185" s="64" customFormat="1"/>
    <row r="186" s="64" customFormat="1"/>
    <row r="187" s="64" customFormat="1"/>
    <row r="188" s="64" customFormat="1"/>
    <row r="189" s="64" customFormat="1"/>
    <row r="190" s="64" customFormat="1"/>
    <row r="191" s="64" customFormat="1"/>
    <row r="192" s="64" customFormat="1"/>
    <row r="193" s="64" customFormat="1"/>
    <row r="194" s="64" customFormat="1"/>
    <row r="195" s="64" customFormat="1"/>
    <row r="196" s="64" customFormat="1"/>
    <row r="197" s="64" customFormat="1"/>
    <row r="198" s="64" customFormat="1"/>
    <row r="199" s="64" customFormat="1"/>
    <row r="200" s="64" customFormat="1"/>
    <row r="201" s="64" customFormat="1"/>
    <row r="202" s="64" customFormat="1"/>
    <row r="203" s="64" customFormat="1"/>
    <row r="204" s="64" customFormat="1"/>
    <row r="205" s="64" customFormat="1"/>
    <row r="206" s="64" customFormat="1"/>
    <row r="207" s="64" customFormat="1"/>
    <row r="208" s="64" customFormat="1"/>
    <row r="209" s="64" customFormat="1"/>
    <row r="210" s="64" customFormat="1"/>
    <row r="211" s="64" customFormat="1"/>
    <row r="212" s="64" customFormat="1"/>
    <row r="213" s="64" customFormat="1"/>
    <row r="214" s="64" customFormat="1"/>
    <row r="215" s="64" customFormat="1"/>
    <row r="216" s="64" customFormat="1"/>
    <row r="217" s="64" customFormat="1"/>
    <row r="218" s="64" customFormat="1"/>
    <row r="219" s="64" customFormat="1"/>
    <row r="220" s="64" customFormat="1"/>
    <row r="221" s="64" customFormat="1"/>
    <row r="222" s="64" customFormat="1"/>
    <row r="223" s="64" customFormat="1"/>
    <row r="224" s="64" customFormat="1"/>
    <row r="225" s="64" customFormat="1"/>
    <row r="226" s="64" customFormat="1"/>
    <row r="227" s="64" customFormat="1"/>
    <row r="228" s="64" customFormat="1"/>
    <row r="229" s="64" customFormat="1"/>
    <row r="230" s="64" customFormat="1"/>
    <row r="231" s="64" customFormat="1"/>
    <row r="232" s="64" customFormat="1"/>
    <row r="233" s="64" customFormat="1"/>
    <row r="234" s="64" customFormat="1"/>
    <row r="235" s="64" customFormat="1"/>
    <row r="236" s="64" customFormat="1"/>
    <row r="237" s="64" customFormat="1"/>
    <row r="238" s="64" customFormat="1"/>
    <row r="239" s="64" customFormat="1"/>
    <row r="240" s="64" customFormat="1"/>
    <row r="241" s="64" customFormat="1"/>
  </sheetData>
  <mergeCells count="3">
    <mergeCell ref="A1:J1"/>
    <mergeCell ref="B30:E30"/>
    <mergeCell ref="B15:E15"/>
  </mergeCells>
  <conditionalFormatting sqref="B3:B4 B6 B10 B12 B14 B23 B25 B27 B29">
    <cfRule type="expression" dxfId="35" priority="319">
      <formula>#REF! = "A"</formula>
    </cfRule>
  </conditionalFormatting>
  <conditionalFormatting sqref="B8">
    <cfRule type="expression" dxfId="34" priority="32">
      <formula>#REF! = "A"</formula>
    </cfRule>
  </conditionalFormatting>
  <conditionalFormatting sqref="B16:B21">
    <cfRule type="expression" dxfId="33" priority="15">
      <formula>#REF! = "A"</formula>
    </cfRule>
  </conditionalFormatting>
  <conditionalFormatting sqref="B31:B1048576">
    <cfRule type="expression" dxfId="32" priority="62">
      <formula>#REF! = "A"</formula>
    </cfRule>
  </conditionalFormatting>
  <conditionalFormatting sqref="C3:C4 C6 C8 C10:C12 C14 C18:C19 C21 C23 C25 C27 C29 C31 C33:C1048576">
    <cfRule type="expression" dxfId="31" priority="320">
      <formula>#REF! = "B"</formula>
    </cfRule>
  </conditionalFormatting>
  <conditionalFormatting sqref="C16">
    <cfRule type="expression" dxfId="30" priority="16">
      <formula>#REF! = "B"</formula>
    </cfRule>
  </conditionalFormatting>
  <conditionalFormatting sqref="C17:D17">
    <cfRule type="expression" dxfId="29" priority="13">
      <formula>#REF! = "A"</formula>
    </cfRule>
  </conditionalFormatting>
  <conditionalFormatting sqref="C20:D20">
    <cfRule type="expression" dxfId="28" priority="33">
      <formula>#REF! = "A"</formula>
    </cfRule>
  </conditionalFormatting>
  <conditionalFormatting sqref="C32:D32">
    <cfRule type="expression" dxfId="27" priority="57">
      <formula>#REF! = "A"</formula>
    </cfRule>
  </conditionalFormatting>
  <conditionalFormatting sqref="D3:D4 D6 D8 D10 D12 D14 D18:D19 D21 D23 D25 D27 D29 D31 D33:D1048576">
    <cfRule type="expression" dxfId="26" priority="321">
      <formula>#REF! = "C"</formula>
    </cfRule>
  </conditionalFormatting>
  <conditionalFormatting sqref="D11">
    <cfRule type="expression" dxfId="25" priority="22">
      <formula>#REF! = "B"</formula>
    </cfRule>
  </conditionalFormatting>
  <conditionalFormatting sqref="D16">
    <cfRule type="expression" dxfId="24" priority="17">
      <formula>#REF! = "C"</formula>
    </cfRule>
  </conditionalFormatting>
  <conditionalFormatting sqref="E6:E9 E27:E29 H30:I30">
    <cfRule type="expression" dxfId="22" priority="322">
      <formula>#REF! = "D"</formula>
    </cfRule>
  </conditionalFormatting>
  <conditionalFormatting sqref="E16:E21">
    <cfRule type="expression" dxfId="21" priority="18">
      <formula>#REF! = "D"</formula>
    </cfRule>
  </conditionalFormatting>
  <conditionalFormatting sqref="E31:E1048576">
    <cfRule type="expression" dxfId="20" priority="65">
      <formula>#REF! = "D"</formula>
    </cfRule>
  </conditionalFormatting>
  <conditionalFormatting sqref="E23:G23 E25:G25">
    <cfRule type="expression" dxfId="19" priority="36">
      <formula>#REF! = "D"</formula>
    </cfRule>
  </conditionalFormatting>
  <conditionalFormatting sqref="E3:J4">
    <cfRule type="expression" dxfId="18" priority="143">
      <formula>#REF! = "D"</formula>
    </cfRule>
  </conditionalFormatting>
  <conditionalFormatting sqref="E9:J14">
    <cfRule type="expression" dxfId="17" priority="7">
      <formula>#REF! = "D"</formula>
    </cfRule>
  </conditionalFormatting>
  <conditionalFormatting sqref="F9">
    <cfRule type="expression" dxfId="16" priority="2">
      <formula>#REF! = "D"</formula>
    </cfRule>
  </conditionalFormatting>
  <conditionalFormatting sqref="F19:G19">
    <cfRule type="expression" dxfId="15" priority="78">
      <formula>#REF! = "D"</formula>
    </cfRule>
  </conditionalFormatting>
  <conditionalFormatting sqref="F21:G21">
    <cfRule type="expression" dxfId="14" priority="79">
      <formula>#REF! = "D"</formula>
    </cfRule>
  </conditionalFormatting>
  <conditionalFormatting sqref="F27:G27">
    <cfRule type="expression" dxfId="13" priority="43">
      <formula>#REF! = "D"</formula>
    </cfRule>
  </conditionalFormatting>
  <conditionalFormatting sqref="F5:J8">
    <cfRule type="expression" dxfId="12" priority="1">
      <formula>#REF! = "D"</formula>
    </cfRule>
  </conditionalFormatting>
  <conditionalFormatting sqref="F15:J16">
    <cfRule type="expression" dxfId="11" priority="10">
      <formula>#REF! = "D"</formula>
    </cfRule>
  </conditionalFormatting>
  <conditionalFormatting sqref="F18:J18">
    <cfRule type="expression" dxfId="10" priority="21">
      <formula>#REF! = "D"</formula>
    </cfRule>
  </conditionalFormatting>
  <conditionalFormatting sqref="F28:J29">
    <cfRule type="expression" dxfId="9" priority="4">
      <formula>#REF! = "D"</formula>
    </cfRule>
  </conditionalFormatting>
  <conditionalFormatting sqref="F31:J31">
    <cfRule type="expression" dxfId="8" priority="3">
      <formula>#REF! = "D"</formula>
    </cfRule>
  </conditionalFormatting>
  <conditionalFormatting sqref="G17:I17">
    <cfRule type="expression" dxfId="7" priority="12">
      <formula>#REF! = "D"</formula>
    </cfRule>
  </conditionalFormatting>
  <conditionalFormatting sqref="G32:I32">
    <cfRule type="expression" dxfId="6" priority="55">
      <formula>#REF! = "D"</formula>
    </cfRule>
  </conditionalFormatting>
  <conditionalFormatting sqref="H19:I27">
    <cfRule type="expression" dxfId="5" priority="37">
      <formula>#REF! = "D"</formula>
    </cfRule>
  </conditionalFormatting>
  <conditionalFormatting sqref="J19">
    <cfRule type="expression" dxfId="4" priority="112">
      <formula>#REF! = "D"</formula>
    </cfRule>
  </conditionalFormatting>
  <conditionalFormatting sqref="J21">
    <cfRule type="expression" dxfId="3" priority="111">
      <formula>#REF! = "D"</formula>
    </cfRule>
  </conditionalFormatting>
  <conditionalFormatting sqref="J23">
    <cfRule type="expression" dxfId="2" priority="50">
      <formula>#REF! = "D"</formula>
    </cfRule>
  </conditionalFormatting>
  <conditionalFormatting sqref="J25">
    <cfRule type="expression" dxfId="1" priority="40">
      <formula>#REF! = "D"</formula>
    </cfRule>
  </conditionalFormatting>
  <conditionalFormatting sqref="J27">
    <cfRule type="expression" dxfId="0" priority="44">
      <formula>#REF! = "D"</formula>
    </cfRule>
  </conditionalFormatting>
  <pageMargins left="0.27559055118110237" right="0.27559055118110237" top="0.39370078740157483" bottom="0.39370078740157483" header="0.27559055118110237" footer="0.27559055118110237"/>
  <pageSetup paperSize="8" scale="59" orientation="landscape" horizontalDpi="300" verticalDpi="300" r:id="rId1"/>
  <rowBreaks count="3" manualBreakCount="3">
    <brk id="9" max="9" man="1"/>
    <brk id="17" max="9" man="1"/>
    <brk id="26" max="9" man="1"/>
  </rowBreaks>
  <extLst>
    <ext xmlns:x14="http://schemas.microsoft.com/office/spreadsheetml/2009/9/main" uri="{78C0D931-6437-407d-A8EE-F0AAD7539E65}">
      <x14:conditionalFormattings>
        <x14:conditionalFormatting xmlns:xm="http://schemas.microsoft.com/office/excel/2006/main">
          <x14:cfRule type="expression" priority="35" id="{FCD06D60-FB65-453C-B0F3-75E28CAF7BDA}">
            <xm:f>'Menschliche Aufsicht'!#REF! = "D"</xm:f>
            <x14:dxf>
              <font>
                <b/>
                <i val="0"/>
              </font>
              <fill>
                <patternFill>
                  <bgColor theme="2"/>
                </patternFill>
              </fill>
              <border>
                <left style="thin">
                  <color auto="1"/>
                </left>
                <right style="thin">
                  <color auto="1"/>
                </right>
                <top style="thin">
                  <color auto="1"/>
                </top>
                <bottom style="thin">
                  <color auto="1"/>
                </bottom>
                <vertical/>
                <horizontal/>
              </border>
            </x14:dxf>
          </x14:cfRule>
          <xm:sqref>E5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C34A1B82-B2F2-4555-99D6-A4FD95A13E9B}">
          <x14:formula1>
            <xm:f>Validierung!$B$4:$B$6</xm:f>
          </x14:formula1>
          <xm:sqref>H32 H28 H13 H15 H11 H22 H20 H30 H7 H24 H26 H9 H5</xm:sqref>
        </x14:dataValidation>
        <x14:dataValidation type="list" allowBlank="1" showInputMessage="1" showErrorMessage="1" xr:uid="{FE925627-1A8E-49CD-A27C-843B93BF1666}">
          <x14:formula1>
            <xm:f>Validierung!$A$4:$A$7</xm:f>
          </x14:formula1>
          <xm:sqref>G32</xm:sqref>
        </x14:dataValidation>
        <x14:dataValidation type="list" allowBlank="1" showInputMessage="1" showErrorMessage="1" xr:uid="{F6F4DCB5-8270-473B-96BC-67471FA005B7}">
          <x14:formula1>
            <xm:f>Validierung!$A$4:$A$6</xm:f>
          </x14:formula1>
          <xm:sqref>G30 G28 G26 G24 G22 G20 G5 G13 G11 G9 G7 G15</xm:sqref>
        </x14:dataValidation>
        <x14:dataValidation type="list" allowBlank="1" showInputMessage="1" showErrorMessage="1" xr:uid="{BC402231-5BAF-4CAE-A7EF-87104D56AE2E}">
          <x14:formula1>
            <xm:f>Validierung!$E$4:$E$6</xm:f>
          </x14:formula1>
          <xm:sqref>I5 I7 I9 I11 I13 I15 I17 I20 I22 I24 I26 I28 I30 I32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C310-6484-40DA-B597-E80054F81D44}">
  <dimension ref="A1:N8"/>
  <sheetViews>
    <sheetView workbookViewId="0">
      <selection activeCell="D18" sqref="D18"/>
    </sheetView>
  </sheetViews>
  <sheetFormatPr baseColWidth="10" defaultColWidth="9" defaultRowHeight="14.25"/>
  <cols>
    <col min="1" max="1" width="22.875" style="3" customWidth="1"/>
    <col min="2" max="2" width="28.75" style="3" customWidth="1"/>
    <col min="3" max="3" width="14.75" style="3" customWidth="1"/>
    <col min="4" max="4" width="9" style="3"/>
    <col min="5" max="5" width="16.25" style="3" customWidth="1"/>
    <col min="6" max="16384" width="9" style="3"/>
  </cols>
  <sheetData>
    <row r="1" spans="1:14" ht="67.5" customHeight="1">
      <c r="A1" s="103" t="s">
        <v>405</v>
      </c>
      <c r="B1" s="103"/>
      <c r="C1" s="103"/>
      <c r="D1" s="103"/>
      <c r="E1" s="103"/>
      <c r="F1" s="103"/>
      <c r="G1" s="103"/>
      <c r="H1" s="103"/>
      <c r="I1" s="103"/>
      <c r="J1" s="103"/>
      <c r="K1" s="103"/>
      <c r="L1" s="103"/>
      <c r="M1" s="103"/>
      <c r="N1" s="103"/>
    </row>
    <row r="3" spans="1:14" ht="15">
      <c r="A3" s="11" t="s">
        <v>406</v>
      </c>
      <c r="B3" s="11" t="s">
        <v>407</v>
      </c>
      <c r="C3" s="11" t="s">
        <v>408</v>
      </c>
      <c r="D3" s="11" t="s">
        <v>409</v>
      </c>
      <c r="E3" s="11" t="s">
        <v>100</v>
      </c>
    </row>
    <row r="4" spans="1:14">
      <c r="A4" s="3" t="s">
        <v>130</v>
      </c>
      <c r="B4" s="3" t="s">
        <v>117</v>
      </c>
      <c r="C4" s="3" t="s">
        <v>410</v>
      </c>
      <c r="D4" s="3" t="s">
        <v>93</v>
      </c>
      <c r="E4" s="3" t="s">
        <v>109</v>
      </c>
    </row>
    <row r="5" spans="1:14">
      <c r="A5" s="3" t="s">
        <v>107</v>
      </c>
      <c r="B5" s="3" t="s">
        <v>108</v>
      </c>
      <c r="C5" s="3" t="s">
        <v>411</v>
      </c>
      <c r="D5" s="3" t="s">
        <v>94</v>
      </c>
      <c r="E5" s="3" t="s">
        <v>139</v>
      </c>
    </row>
    <row r="6" spans="1:14">
      <c r="A6" s="3" t="s">
        <v>116</v>
      </c>
      <c r="B6" s="3" t="s">
        <v>131</v>
      </c>
      <c r="D6" s="3" t="s">
        <v>95</v>
      </c>
      <c r="E6" s="3" t="s">
        <v>124</v>
      </c>
    </row>
    <row r="7" spans="1:14">
      <c r="D7" s="3" t="s">
        <v>96</v>
      </c>
    </row>
    <row r="8" spans="1:14">
      <c r="D8" s="3" t="s">
        <v>412</v>
      </c>
    </row>
  </sheetData>
  <mergeCells count="1">
    <mergeCell ref="A1:N1"/>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5c58c9ab0bd524d84bbe53adcf7c660f">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4be5ba214383b2dfbc91ffe8b176daa0"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2fb1a38-c0a2-4036-957a-ec563826ffd6">
      <UserInfo>
        <DisplayName>Nan-Hee Kang (DE)</DisplayName>
        <AccountId>14</AccountId>
        <AccountType/>
      </UserInfo>
    </SharedWithUsers>
    <lcf76f155ced4ddcb4097134ff3c332f xmlns="443ee04c-2a79-47f3-aa66-08e7a1836799">
      <Terms xmlns="http://schemas.microsoft.com/office/infopath/2007/PartnerControls"/>
    </lcf76f155ced4ddcb4097134ff3c332f>
    <TaxCatchAll xmlns="82fb1a38-c0a2-4036-957a-ec563826ffd6" xsi:nil="true"/>
  </documentManagement>
</p:properties>
</file>

<file path=customXml/itemProps1.xml><?xml version="1.0" encoding="utf-8"?>
<ds:datastoreItem xmlns:ds="http://schemas.openxmlformats.org/officeDocument/2006/customXml" ds:itemID="{36F1C88E-6662-426D-A1DC-9DB2E435B7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2A3E29-63D2-4697-93E5-CA5992DD8EED}">
  <ds:schemaRefs>
    <ds:schemaRef ds:uri="http://schemas.microsoft.com/sharepoint/v3/contenttype/forms"/>
  </ds:schemaRefs>
</ds:datastoreItem>
</file>

<file path=customXml/itemProps3.xml><?xml version="1.0" encoding="utf-8"?>
<ds:datastoreItem xmlns:ds="http://schemas.openxmlformats.org/officeDocument/2006/customXml" ds:itemID="{9ED9D99E-D4AB-43D0-AB55-8117E0146042}">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docMetadata/LabelInfo.xml><?xml version="1.0" encoding="utf-8"?>
<clbl:labelList xmlns:clbl="http://schemas.microsoft.com/office/2020/mipLabelMetadata">
  <clbl:label id="{2ed55210-5af2-49d0-ae6f-c7160c68a39f}" enabled="1" method="Standard" siteId="{40aeb486-ebe2-4e58-9f1c-caedc86481e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10</vt:i4>
      </vt:variant>
    </vt:vector>
  </HeadingPairs>
  <TitlesOfParts>
    <vt:vector size="18" baseType="lpstr">
      <vt:lpstr>Übersicht</vt:lpstr>
      <vt:lpstr>Daten</vt:lpstr>
      <vt:lpstr>Nicht-Diskriminierung</vt:lpstr>
      <vt:lpstr>Transparenz</vt:lpstr>
      <vt:lpstr>Menschliche Aufsicht</vt:lpstr>
      <vt:lpstr>Cybersicherheit</vt:lpstr>
      <vt:lpstr>Verlässlichkeit</vt:lpstr>
      <vt:lpstr>Validierung</vt:lpstr>
      <vt:lpstr>Daten!Druckbereich</vt:lpstr>
      <vt:lpstr>'Menschliche Aufsicht'!Druckbereich</vt:lpstr>
      <vt:lpstr>Übersicht!Druckbereich</vt:lpstr>
      <vt:lpstr>Verlässlichkeit!Druckbereich</vt:lpstr>
      <vt:lpstr>Cybersicherheit!Drucktitel</vt:lpstr>
      <vt:lpstr>Daten!Drucktitel</vt:lpstr>
      <vt:lpstr>'Menschliche Aufsicht'!Drucktitel</vt:lpstr>
      <vt:lpstr>'Nicht-Diskriminierung'!Drucktitel</vt:lpstr>
      <vt:lpstr>Transparenz!Drucktitel</vt:lpstr>
      <vt:lpstr>Verlässlichkeit!Drucktitel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2024-10-15T16:13:08Z</dcterms:created>
  <dcterms:modified xsi:type="dcterms:W3CDTF">2025-12-04T14:08:30Z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9b6cd5-d141-4a33-8bf1-0ca04484304f_SiteId">
    <vt:lpwstr>38ae3bcd-9579-4fd4-adda-b42e1495d55a</vt:lpwstr>
  </property>
  <property fmtid="{D5CDD505-2E9C-101B-9397-08002B2CF9AE}" pid="3" name="MediaServiceImageTags">
    <vt:lpwstr/>
  </property>
  <property fmtid="{D5CDD505-2E9C-101B-9397-08002B2CF9AE}" pid="4" name="MSIP_Label_a59b6cd5-d141-4a33-8bf1-0ca04484304f_Method">
    <vt:lpwstr>Standard</vt:lpwstr>
  </property>
  <property fmtid="{D5CDD505-2E9C-101B-9397-08002B2CF9AE}" pid="5" name="ContentTypeId">
    <vt:lpwstr>0x010100B78553A402FE1E49871A770E999BE19E</vt:lpwstr>
  </property>
  <property fmtid="{D5CDD505-2E9C-101B-9397-08002B2CF9AE}" pid="6" name="MSIP_Label_a59b6cd5-d141-4a33-8bf1-0ca04484304f_SetDate">
    <vt:lpwstr>2021-12-15T14:47:24Z</vt:lpwstr>
  </property>
  <property fmtid="{D5CDD505-2E9C-101B-9397-08002B2CF9AE}" pid="7" name="MSIP_Label_a59b6cd5-d141-4a33-8bf1-0ca04484304f_ActionId">
    <vt:lpwstr>781e62e1-a497-4829-ba73-d452fc0e3c03</vt:lpwstr>
  </property>
  <property fmtid="{D5CDD505-2E9C-101B-9397-08002B2CF9AE}" pid="8" name="Document_Confidentiality">
    <vt:lpwstr>Restricted</vt:lpwstr>
  </property>
  <property fmtid="{D5CDD505-2E9C-101B-9397-08002B2CF9AE}" pid="9" name="MSIP_Label_a59b6cd5-d141-4a33-8bf1-0ca04484304f_Name">
    <vt:lpwstr>restricted-default</vt:lpwstr>
  </property>
  <property fmtid="{D5CDD505-2E9C-101B-9397-08002B2CF9AE}" pid="10" name="MSIP_Label_a59b6cd5-d141-4a33-8bf1-0ca04484304f_Enabled">
    <vt:lpwstr>true</vt:lpwstr>
  </property>
  <property fmtid="{D5CDD505-2E9C-101B-9397-08002B2CF9AE}" pid="11" name="MSIP_Label_a59b6cd5-d141-4a33-8bf1-0ca04484304f_ContentBits">
    <vt:lpwstr>0</vt:lpwstr>
  </property>
  <property fmtid="{D5CDD505-2E9C-101B-9397-08002B2CF9AE}" pid="12" name="MSIP_Label_913c8698-91e4-4004-8452-bbfb4b6b90bf_Enabled">
    <vt:lpwstr>true</vt:lpwstr>
  </property>
  <property fmtid="{D5CDD505-2E9C-101B-9397-08002B2CF9AE}" pid="13" name="MSIP_Label_913c8698-91e4-4004-8452-bbfb4b6b90bf_SetDate">
    <vt:lpwstr>2025-11-03T09:38:22Z</vt:lpwstr>
  </property>
  <property fmtid="{D5CDD505-2E9C-101B-9397-08002B2CF9AE}" pid="14" name="MSIP_Label_913c8698-91e4-4004-8452-bbfb4b6b90bf_Method">
    <vt:lpwstr>Standard</vt:lpwstr>
  </property>
  <property fmtid="{D5CDD505-2E9C-101B-9397-08002B2CF9AE}" pid="15" name="MSIP_Label_913c8698-91e4-4004-8452-bbfb4b6b90bf_Name">
    <vt:lpwstr>Restricted Use</vt:lpwstr>
  </property>
  <property fmtid="{D5CDD505-2E9C-101B-9397-08002B2CF9AE}" pid="16" name="MSIP_Label_913c8698-91e4-4004-8452-bbfb4b6b90bf_SiteId">
    <vt:lpwstr>4277a43b-2ad8-46cf-99f4-162b2d6d412c</vt:lpwstr>
  </property>
  <property fmtid="{D5CDD505-2E9C-101B-9397-08002B2CF9AE}" pid="17" name="MSIP_Label_913c8698-91e4-4004-8452-bbfb4b6b90bf_ActionId">
    <vt:lpwstr>49119a69-0536-4f5f-bb28-da456613f589</vt:lpwstr>
  </property>
  <property fmtid="{D5CDD505-2E9C-101B-9397-08002B2CF9AE}" pid="18" name="MSIP_Label_913c8698-91e4-4004-8452-bbfb4b6b90bf_ContentBits">
    <vt:lpwstr>0</vt:lpwstr>
  </property>
  <property fmtid="{D5CDD505-2E9C-101B-9397-08002B2CF9AE}" pid="19" name="MSIP_Label_913c8698-91e4-4004-8452-bbfb4b6b90bf_Tag">
    <vt:lpwstr>10, 3, 0, 1</vt:lpwstr>
  </property>
</Properties>
</file>